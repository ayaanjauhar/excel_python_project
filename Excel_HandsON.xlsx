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hidePivotFieldList="1"/>
  <mc:AlternateContent xmlns:mc="http://schemas.openxmlformats.org/markup-compatibility/2006">
    <mc:Choice Requires="x15">
      <x15ac:absPath xmlns:x15ac="http://schemas.microsoft.com/office/spreadsheetml/2010/11/ac" url="/Users/ayaanjauhar/Downloads/"/>
    </mc:Choice>
  </mc:AlternateContent>
  <xr:revisionPtr revIDLastSave="0" documentId="13_ncr:1_{0FE00282-2EB2-FF46-9703-819FDF180ACE}" xr6:coauthVersionLast="47" xr6:coauthVersionMax="47" xr10:uidLastSave="{00000000-0000-0000-0000-000000000000}"/>
  <bookViews>
    <workbookView xWindow="0" yWindow="580" windowWidth="28800" windowHeight="18060" activeTab="5" xr2:uid="{00000000-000D-0000-FFFF-FFFF00000000}"/>
  </bookViews>
  <sheets>
    <sheet name="Read me" sheetId="1" r:id="rId1"/>
    <sheet name="P1 Payments" sheetId="2" r:id="rId2"/>
    <sheet name="P2 Delivery" sheetId="3" r:id="rId3"/>
    <sheet name="Sheet1" sheetId="6" r:id="rId4"/>
    <sheet name="P3 Laptops" sheetId="4" r:id="rId5"/>
    <sheet name="P4 Ads" sheetId="5" r:id="rId6"/>
  </sheets>
  <calcPr calcId="191029"/>
  <pivotCaches>
    <pivotCache cacheId="5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5" l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2" i="4"/>
  <c r="M11" i="3"/>
  <c r="O3" i="3"/>
  <c r="O4" i="3"/>
  <c r="O5" i="3"/>
  <c r="O6" i="3"/>
  <c r="O7" i="3"/>
  <c r="O8" i="3"/>
  <c r="O2" i="3"/>
  <c r="N3" i="3"/>
  <c r="N4" i="3"/>
  <c r="N5" i="3"/>
  <c r="N6" i="3"/>
  <c r="N7" i="3"/>
  <c r="N8" i="3"/>
  <c r="N2" i="3"/>
  <c r="M3" i="3"/>
  <c r="M4" i="3"/>
  <c r="M5" i="3"/>
  <c r="M6" i="3"/>
  <c r="M7" i="3"/>
  <c r="M8" i="3"/>
  <c r="M2" i="3"/>
  <c r="L3" i="3"/>
  <c r="L4" i="3"/>
  <c r="L5" i="3"/>
  <c r="L6" i="3"/>
  <c r="L7" i="3"/>
  <c r="L8" i="3"/>
  <c r="L2" i="3"/>
  <c r="K3" i="3"/>
  <c r="K4" i="3"/>
  <c r="K5" i="3"/>
  <c r="K6" i="3"/>
  <c r="K7" i="3"/>
  <c r="K8" i="3"/>
  <c r="K2" i="3"/>
  <c r="J9" i="3"/>
  <c r="J8" i="3"/>
  <c r="J3" i="3"/>
  <c r="J4" i="3"/>
  <c r="J5" i="3"/>
  <c r="J6" i="3"/>
  <c r="J7" i="3"/>
  <c r="J2" i="3"/>
  <c r="I3" i="3"/>
  <c r="I4" i="3"/>
  <c r="I5" i="3"/>
  <c r="I6" i="3"/>
  <c r="I7" i="3"/>
  <c r="I8" i="3"/>
  <c r="I2" i="3"/>
  <c r="G4" i="3"/>
  <c r="G5" i="3" s="1"/>
  <c r="G6" i="3" s="1"/>
  <c r="G7" i="3" s="1"/>
  <c r="G8" i="3" s="1"/>
  <c r="H4" i="3"/>
  <c r="H5" i="3" s="1"/>
  <c r="H6" i="3" s="1"/>
  <c r="H7" i="3" s="1"/>
  <c r="H8" i="3" s="1"/>
  <c r="H3" i="3"/>
  <c r="G3" i="3"/>
  <c r="E6" i="3"/>
  <c r="E5" i="3"/>
  <c r="E4" i="3"/>
  <c r="E3" i="3"/>
  <c r="E2" i="3"/>
  <c r="E1" i="3"/>
  <c r="H3" i="2"/>
  <c r="H4" i="2"/>
  <c r="H5" i="2"/>
  <c r="H6" i="2"/>
  <c r="H7" i="2"/>
  <c r="H2" i="2"/>
  <c r="G3" i="2"/>
  <c r="G4" i="2"/>
  <c r="G5" i="2"/>
  <c r="G6" i="2"/>
  <c r="G7" i="2"/>
  <c r="G2" i="2"/>
  <c r="F7" i="2"/>
  <c r="F3" i="2"/>
  <c r="F4" i="2"/>
  <c r="F5" i="2"/>
  <c r="F6" i="2"/>
  <c r="F2" i="2"/>
  <c r="E3" i="2"/>
  <c r="E4" i="2"/>
  <c r="E5" i="2"/>
  <c r="E6" i="2"/>
  <c r="E2" i="2"/>
  <c r="E7" i="2" l="1"/>
</calcChain>
</file>

<file path=xl/sharedStrings.xml><?xml version="1.0" encoding="utf-8"?>
<sst xmlns="http://schemas.openxmlformats.org/spreadsheetml/2006/main" count="211" uniqueCount="68">
  <si>
    <t>Data Science for Managerial Decisions — Excel hands-on 1: tables and charts</t>
  </si>
  <si>
    <t>Each sheet (P1 to P4) holds the raw data for the matching problem in the handout.</t>
  </si>
  <si>
    <t>Data starts in row 2 under the dark header row. Do your work in empty columns to the right, or in a new sheet.</t>
  </si>
  <si>
    <t>Do not sort or edit the original data columns unless a problem asks you to — make a copy first.</t>
  </si>
  <si>
    <t>All data are illustrative, created for classroom practice.</t>
  </si>
  <si>
    <t>Customer</t>
  </si>
  <si>
    <t>Payment mode</t>
  </si>
  <si>
    <t>UPI</t>
  </si>
  <si>
    <t>Credit Card</t>
  </si>
  <si>
    <t>Cash</t>
  </si>
  <si>
    <t>Debit Card</t>
  </si>
  <si>
    <t>Wallet</t>
  </si>
  <si>
    <t>Order</t>
  </si>
  <si>
    <t>Delivery time (min)</t>
  </si>
  <si>
    <t>Sale</t>
  </si>
  <si>
    <t>Brand</t>
  </si>
  <si>
    <t>Price (Rs)</t>
  </si>
  <si>
    <t>Dell</t>
  </si>
  <si>
    <t>HP</t>
  </si>
  <si>
    <t>Lenovo</t>
  </si>
  <si>
    <t>Apple</t>
  </si>
  <si>
    <t>Month</t>
  </si>
  <si>
    <t>Ad spend (Rs lakh)</t>
  </si>
  <si>
    <t>Sales (Rs lakh)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</si>
  <si>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</si>
  <si>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</si>
  <si>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</si>
  <si>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</si>
  <si>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</si>
  <si>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</si>
  <si>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</si>
  <si>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</si>
  <si>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</si>
  <si>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</si>
  <si>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</si>
  <si>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</si>
  <si>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https://claude.ai/artifact/AGzZ6yNj9pBkdTEnGARfJ2</t>
  </si>
  <si>
    <t xml:space="preserve">Click below to access the handout - </t>
  </si>
  <si>
    <t xml:space="preserve"> Mode</t>
  </si>
  <si>
    <t>Frequnecy</t>
  </si>
  <si>
    <t>Relative Freq</t>
  </si>
  <si>
    <t xml:space="preserve"> Percent</t>
  </si>
  <si>
    <t>Total</t>
  </si>
  <si>
    <t>Degrees</t>
  </si>
  <si>
    <t>n</t>
  </si>
  <si>
    <t>Smalles</t>
  </si>
  <si>
    <t>Largest</t>
  </si>
  <si>
    <t>Sturges k.</t>
  </si>
  <si>
    <t>Classes</t>
  </si>
  <si>
    <t>Approx. width.</t>
  </si>
  <si>
    <t>Lower</t>
  </si>
  <si>
    <t>Upper</t>
  </si>
  <si>
    <t>Class</t>
  </si>
  <si>
    <t>Frequency</t>
  </si>
  <si>
    <t>Relative</t>
  </si>
  <si>
    <t>Percent</t>
  </si>
  <si>
    <t>Cum. Freq</t>
  </si>
  <si>
    <t>Cum. Relative</t>
  </si>
  <si>
    <t>Cum. Percent</t>
  </si>
  <si>
    <t>The orders that took more than 45 mins</t>
  </si>
  <si>
    <t>Price band</t>
  </si>
  <si>
    <t>Row Labels</t>
  </si>
  <si>
    <t>Grand Total</t>
  </si>
  <si>
    <t>Column Labels</t>
  </si>
  <si>
    <t>Below 60k</t>
  </si>
  <si>
    <t>60k and above</t>
  </si>
  <si>
    <t>Count of Brand</t>
  </si>
  <si>
    <t>Estimated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</si>
</sst>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i/>
      <sz val="9"/>
      <color rgb="FF555555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rgb="FF59595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2A5A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5" fillId="0" borderId="0" xfId="0" applyFont="1"/>
    <xf numFmtId="0" fontId="4" fillId="0" borderId="0" xfId="0" applyFont="1"/>
    <xf numFmtId="3" fontId="4" fillId="0" borderId="0" xfId="0" applyNumberFormat="1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0" fillId="3" borderId="0" xfId="0" applyFill="1"/>
    <xf numFmtId="0" fontId="0" fillId="4" borderId="0" xfId="0" applyFill="1"/>
    <xf numFmtId="0" fontId="0" fillId="0" borderId="0" xfId="0" pivotButton="1"/>
    <xf numFmtId="10" fontId="0" fillId="0" borderId="0" xfId="0" applyNumberFormat="1"/>
    <xf numFmtId="0" fontId="0" fillId="0" borderId="0" xfId="0" applyNumberFormat="1"/>
    <xf numFmtId="0" fontId="8" fillId="4" borderId="0" xfId="0" applyFont="1" applyFill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Payment modes of 40 customers.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'P1 Payments'!$D$2:$D$6</c:f>
              <c:strCache>
                <c:ptCount val="5"/>
                <c:pt idx="0">
                  <c:v>UPI</c:v>
                </c:pt>
                <c:pt idx="1">
                  <c:v>Cash</c:v>
                </c:pt>
                <c:pt idx="2">
                  <c:v>Debit Card</c:v>
                </c:pt>
                <c:pt idx="3">
                  <c:v>Credit Card</c:v>
                </c:pt>
                <c:pt idx="4">
                  <c:v>Wallet</c:v>
                </c:pt>
              </c:strCache>
            </c:strRef>
          </c:cat>
          <c:val>
            <c:numRef>
              <c:f>'P1 Payments'!$E$2:$E$6</c:f>
              <c:numCache>
                <c:formatCode>General</c:formatCode>
                <c:ptCount val="5"/>
                <c:pt idx="0">
                  <c:v>17</c:v>
                </c:pt>
                <c:pt idx="1">
                  <c:v>9</c:v>
                </c:pt>
                <c:pt idx="2">
                  <c:v>5</c:v>
                </c:pt>
                <c:pt idx="3">
                  <c:v>6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82-F34B-8AA5-0132CF396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5571839"/>
        <c:axId val="595573631"/>
      </c:barChart>
      <c:catAx>
        <c:axId val="595571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Payment</a:t>
                </a:r>
                <a:r>
                  <a:rPr lang="en-GB" baseline="0"/>
                  <a:t> Mode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573631"/>
        <c:crosses val="autoZero"/>
        <c:auto val="1"/>
        <c:lblAlgn val="ctr"/>
        <c:lblOffset val="100"/>
        <c:noMultiLvlLbl val="0"/>
      </c:catAx>
      <c:valAx>
        <c:axId val="59557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571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Payment</a:t>
            </a:r>
            <a:r>
              <a:rPr lang="en-GB" baseline="0"/>
              <a:t> modes and their Percentage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'P1 Payments'!$D$2:$D$6</c:f>
              <c:strCache>
                <c:ptCount val="5"/>
                <c:pt idx="0">
                  <c:v>UPI</c:v>
                </c:pt>
                <c:pt idx="1">
                  <c:v>Cash</c:v>
                </c:pt>
                <c:pt idx="2">
                  <c:v>Debit Card</c:v>
                </c:pt>
                <c:pt idx="3">
                  <c:v>Credit Card</c:v>
                </c:pt>
                <c:pt idx="4">
                  <c:v>Wallet</c:v>
                </c:pt>
              </c:strCache>
            </c:strRef>
          </c:cat>
          <c:val>
            <c:numRef>
              <c:f>'P1 Payments'!$G$2:$G$6</c:f>
              <c:numCache>
                <c:formatCode>General</c:formatCode>
                <c:ptCount val="5"/>
                <c:pt idx="0">
                  <c:v>42.5</c:v>
                </c:pt>
                <c:pt idx="1">
                  <c:v>22.5</c:v>
                </c:pt>
                <c:pt idx="2">
                  <c:v>12.5</c:v>
                </c:pt>
                <c:pt idx="3">
                  <c:v>15</c:v>
                </c:pt>
                <c:pt idx="4">
                  <c:v>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16-F34B-BB65-7090E0CFAD2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Distribution of Delivery Times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'P2 Delivery'!$J$1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 w="41275"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cat>
            <c:strRef>
              <c:f>'P2 Delivery'!$I$2:$I$8</c:f>
              <c:strCache>
                <c:ptCount val="7"/>
                <c:pt idx="0">
                  <c:v>15-21</c:v>
                </c:pt>
                <c:pt idx="1">
                  <c:v>22-28</c:v>
                </c:pt>
                <c:pt idx="2">
                  <c:v>29-35</c:v>
                </c:pt>
                <c:pt idx="3">
                  <c:v>36-42</c:v>
                </c:pt>
                <c:pt idx="4">
                  <c:v>43-49</c:v>
                </c:pt>
                <c:pt idx="5">
                  <c:v>50-56</c:v>
                </c:pt>
                <c:pt idx="6">
                  <c:v>57-63</c:v>
                </c:pt>
              </c:strCache>
            </c:strRef>
          </c:cat>
          <c:val>
            <c:numRef>
              <c:f>'P2 Delivery'!$J$2:$J$8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11</c:v>
                </c:pt>
                <c:pt idx="3">
                  <c:v>13</c:v>
                </c:pt>
                <c:pt idx="4">
                  <c:v>8</c:v>
                </c:pt>
                <c:pt idx="5">
                  <c:v>7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89-D541-8C92-9AC21130A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616172159"/>
        <c:axId val="616173055"/>
      </c:barChart>
      <c:catAx>
        <c:axId val="616172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delivery</a:t>
                </a:r>
                <a:r>
                  <a:rPr lang="en-GB" baseline="0"/>
                  <a:t> time in mins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173055"/>
        <c:crosses val="autoZero"/>
        <c:auto val="1"/>
        <c:lblAlgn val="ctr"/>
        <c:lblOffset val="100"/>
        <c:noMultiLvlLbl val="0"/>
      </c:catAx>
      <c:valAx>
        <c:axId val="61617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172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[Excel_HandsON.xlsx]Sheet1!PivotTable1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Apple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60k and above</c:v>
                </c:pt>
                <c:pt idx="1">
                  <c:v>Below 60k</c:v>
                </c:pt>
              </c:strCache>
            </c:strRef>
          </c:cat>
          <c:val>
            <c:numRef>
              <c:f>Sheet1!$B$5:$B$7</c:f>
              <c:numCache>
                <c:formatCode>General</c:formatCode>
                <c:ptCount val="2"/>
                <c:pt idx="0">
                  <c:v>16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3A-7C41-98B5-03B333AD071E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Dell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60k and above</c:v>
                </c:pt>
                <c:pt idx="1">
                  <c:v>Below 60k</c:v>
                </c:pt>
              </c:strCache>
            </c:strRef>
          </c:cat>
          <c:val>
            <c:numRef>
              <c:f>Sheet1!$C$5:$C$7</c:f>
              <c:numCache>
                <c:formatCode>General</c:formatCode>
                <c:ptCount val="2"/>
                <c:pt idx="0">
                  <c:v>8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3A-7C41-98B5-03B333AD071E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HP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60k and above</c:v>
                </c:pt>
                <c:pt idx="1">
                  <c:v>Below 60k</c:v>
                </c:pt>
              </c:strCache>
            </c:strRef>
          </c:cat>
          <c:val>
            <c:numRef>
              <c:f>Sheet1!$D$5:$D$7</c:f>
              <c:numCache>
                <c:formatCode>General</c:formatCode>
                <c:ptCount val="2"/>
                <c:pt idx="0">
                  <c:v>6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3A-7C41-98B5-03B333AD071E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Lenovo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60k and above</c:v>
                </c:pt>
                <c:pt idx="1">
                  <c:v>Below 60k</c:v>
                </c:pt>
              </c:strCache>
            </c:strRef>
          </c:cat>
          <c:val>
            <c:numRef>
              <c:f>Sheet1!$E$5:$E$7</c:f>
              <c:numCache>
                <c:formatCode>General</c:formatCode>
                <c:ptCount val="2"/>
                <c:pt idx="0">
                  <c:v>6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3A-7C41-98B5-03B333AD0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3892607"/>
        <c:axId val="653894399"/>
      </c:barChart>
      <c:catAx>
        <c:axId val="65389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894399"/>
        <c:crosses val="autoZero"/>
        <c:auto val="1"/>
        <c:lblAlgn val="ctr"/>
        <c:lblOffset val="100"/>
        <c:noMultiLvlLbl val="0"/>
      </c:catAx>
      <c:valAx>
        <c:axId val="65389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89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[Excel_HandsON.xlsx]Sheet1!PivotTable3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Sheet1!$B$39:$B$40</c:f>
              <c:strCache>
                <c:ptCount val="1"/>
                <c:pt idx="0">
                  <c:v>Apple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Sheet1!$A$41:$A$43</c:f>
              <c:strCache>
                <c:ptCount val="2"/>
                <c:pt idx="0">
                  <c:v>60k and above</c:v>
                </c:pt>
                <c:pt idx="1">
                  <c:v>Below 60k</c:v>
                </c:pt>
              </c:strCache>
            </c:strRef>
          </c:cat>
          <c:val>
            <c:numRef>
              <c:f>Sheet1!$B$41:$B$43</c:f>
              <c:numCache>
                <c:formatCode>0.00%</c:formatCode>
                <c:ptCount val="2"/>
                <c:pt idx="0">
                  <c:v>0.88888888888888884</c:v>
                </c:pt>
                <c:pt idx="1">
                  <c:v>0.1111111111111111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3A-0943-A38C-A59E8084BAF5}"/>
            </c:ext>
          </c:extLst>
        </c:ser>
        <c:ser>
          <c:idx val="1"/>
          <c:order val="1"/>
          <c:tx>
            <c:strRef>
              <c:f>Sheet1!$C$39:$C$40</c:f>
              <c:strCache>
                <c:ptCount val="1"/>
                <c:pt idx="0">
                  <c:v>Dell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Sheet1!$A$41:$A$43</c:f>
              <c:strCache>
                <c:ptCount val="2"/>
                <c:pt idx="0">
                  <c:v>60k and above</c:v>
                </c:pt>
                <c:pt idx="1">
                  <c:v>Below 60k</c:v>
                </c:pt>
              </c:strCache>
            </c:strRef>
          </c:cat>
          <c:val>
            <c:numRef>
              <c:f>Sheet1!$C$41:$C$43</c:f>
              <c:numCache>
                <c:formatCode>0.00%</c:formatCode>
                <c:ptCount val="2"/>
                <c:pt idx="0">
                  <c:v>0.4</c:v>
                </c:pt>
                <c:pt idx="1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3A-0943-A38C-A59E8084BAF5}"/>
            </c:ext>
          </c:extLst>
        </c:ser>
        <c:ser>
          <c:idx val="2"/>
          <c:order val="2"/>
          <c:tx>
            <c:strRef>
              <c:f>Sheet1!$D$39:$D$40</c:f>
              <c:strCache>
                <c:ptCount val="1"/>
                <c:pt idx="0">
                  <c:v>HP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Sheet1!$A$41:$A$43</c:f>
              <c:strCache>
                <c:ptCount val="2"/>
                <c:pt idx="0">
                  <c:v>60k and above</c:v>
                </c:pt>
                <c:pt idx="1">
                  <c:v>Below 60k</c:v>
                </c:pt>
              </c:strCache>
            </c:strRef>
          </c:cat>
          <c:val>
            <c:numRef>
              <c:f>Sheet1!$D$41:$D$43</c:f>
              <c:numCache>
                <c:formatCode>0.00%</c:formatCode>
                <c:ptCount val="2"/>
                <c:pt idx="0">
                  <c:v>0.3</c:v>
                </c:pt>
                <c:pt idx="1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3A-0943-A38C-A59E8084BAF5}"/>
            </c:ext>
          </c:extLst>
        </c:ser>
        <c:ser>
          <c:idx val="3"/>
          <c:order val="3"/>
          <c:tx>
            <c:strRef>
              <c:f>Sheet1!$E$39:$E$40</c:f>
              <c:strCache>
                <c:ptCount val="1"/>
                <c:pt idx="0">
                  <c:v>Lenovo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Sheet1!$A$41:$A$43</c:f>
              <c:strCache>
                <c:ptCount val="2"/>
                <c:pt idx="0">
                  <c:v>60k and above</c:v>
                </c:pt>
                <c:pt idx="1">
                  <c:v>Below 60k</c:v>
                </c:pt>
              </c:strCache>
            </c:strRef>
          </c:cat>
          <c:val>
            <c:numRef>
              <c:f>Sheet1!$E$41:$E$43</c:f>
              <c:numCache>
                <c:formatCode>0.00%</c:formatCode>
                <c:ptCount val="2"/>
                <c:pt idx="0">
                  <c:v>0.27272727272727271</c:v>
                </c:pt>
                <c:pt idx="1">
                  <c:v>0.72727272727272729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3A-0943-A38C-A59E8084B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56455679"/>
        <c:axId val="654214463"/>
      </c:barChart>
      <c:catAx>
        <c:axId val="65645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214463"/>
        <c:crosses val="autoZero"/>
        <c:auto val="1"/>
        <c:lblAlgn val="ctr"/>
        <c:lblOffset val="100"/>
        <c:noMultiLvlLbl val="0"/>
      </c:catAx>
      <c:valAx>
        <c:axId val="65421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45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[Excel_HandsON.xlsx]Sheet1!PivotTable1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Apple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60k and above</c:v>
                </c:pt>
                <c:pt idx="1">
                  <c:v>Below 60k</c:v>
                </c:pt>
              </c:strCache>
            </c:strRef>
          </c:cat>
          <c:val>
            <c:numRef>
              <c:f>Sheet1!$B$5:$B$7</c:f>
              <c:numCache>
                <c:formatCode>General</c:formatCode>
                <c:ptCount val="2"/>
                <c:pt idx="0">
                  <c:v>16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B-CE44-9030-ACCD95DCAD38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Dell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60k and above</c:v>
                </c:pt>
                <c:pt idx="1">
                  <c:v>Below 60k</c:v>
                </c:pt>
              </c:strCache>
            </c:strRef>
          </c:cat>
          <c:val>
            <c:numRef>
              <c:f>Sheet1!$C$5:$C$7</c:f>
              <c:numCache>
                <c:formatCode>General</c:formatCode>
                <c:ptCount val="2"/>
                <c:pt idx="0">
                  <c:v>8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0B-CE44-9030-ACCD95DCAD38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HP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60k and above</c:v>
                </c:pt>
                <c:pt idx="1">
                  <c:v>Below 60k</c:v>
                </c:pt>
              </c:strCache>
            </c:strRef>
          </c:cat>
          <c:val>
            <c:numRef>
              <c:f>Sheet1!$D$5:$D$7</c:f>
              <c:numCache>
                <c:formatCode>General</c:formatCode>
                <c:ptCount val="2"/>
                <c:pt idx="0">
                  <c:v>6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0B-CE44-9030-ACCD95DCAD38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Lenovo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60k and above</c:v>
                </c:pt>
                <c:pt idx="1">
                  <c:v>Below 60k</c:v>
                </c:pt>
              </c:strCache>
            </c:strRef>
          </c:cat>
          <c:val>
            <c:numRef>
              <c:f>Sheet1!$E$5:$E$7</c:f>
              <c:numCache>
                <c:formatCode>General</c:formatCode>
                <c:ptCount val="2"/>
                <c:pt idx="0">
                  <c:v>6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0B-CE44-9030-ACCD95DCA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52407935"/>
        <c:axId val="655779007"/>
      </c:barChart>
      <c:catAx>
        <c:axId val="65240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779007"/>
        <c:crosses val="autoZero"/>
        <c:auto val="1"/>
        <c:lblAlgn val="ctr"/>
        <c:lblOffset val="100"/>
        <c:noMultiLvlLbl val="0"/>
      </c:catAx>
      <c:valAx>
        <c:axId val="65577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40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Digital Ad Spend and Sales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4926202974628173"/>
                  <c:y val="-3.083989501312336E-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5.2454x + 23.447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'P4 Ads'!$B$2:$B$13</c:f>
              <c:numCache>
                <c:formatCode>General</c:formatCode>
                <c:ptCount val="12"/>
                <c:pt idx="0">
                  <c:v>2.1</c:v>
                </c:pt>
                <c:pt idx="1">
                  <c:v>3.4</c:v>
                </c:pt>
                <c:pt idx="2">
                  <c:v>1.8</c:v>
                </c:pt>
                <c:pt idx="3">
                  <c:v>4.5999999999999996</c:v>
                </c:pt>
                <c:pt idx="4">
                  <c:v>5.2</c:v>
                </c:pt>
                <c:pt idx="5">
                  <c:v>3.9</c:v>
                </c:pt>
                <c:pt idx="6">
                  <c:v>2.7</c:v>
                </c:pt>
                <c:pt idx="7">
                  <c:v>6.1</c:v>
                </c:pt>
                <c:pt idx="8">
                  <c:v>4.2</c:v>
                </c:pt>
                <c:pt idx="9">
                  <c:v>5.8</c:v>
                </c:pt>
                <c:pt idx="10">
                  <c:v>3.1</c:v>
                </c:pt>
                <c:pt idx="11">
                  <c:v>4.9000000000000004</c:v>
                </c:pt>
              </c:numCache>
            </c:numRef>
          </c:xVal>
          <c:yVal>
            <c:numRef>
              <c:f>'P4 Ads'!$C$2:$C$13</c:f>
              <c:numCache>
                <c:formatCode>General</c:formatCode>
                <c:ptCount val="12"/>
                <c:pt idx="0">
                  <c:v>32.6</c:v>
                </c:pt>
                <c:pt idx="1">
                  <c:v>42.6</c:v>
                </c:pt>
                <c:pt idx="2">
                  <c:v>32.9</c:v>
                </c:pt>
                <c:pt idx="3">
                  <c:v>48.6</c:v>
                </c:pt>
                <c:pt idx="4">
                  <c:v>52.8</c:v>
                </c:pt>
                <c:pt idx="5">
                  <c:v>43.2</c:v>
                </c:pt>
                <c:pt idx="6">
                  <c:v>38.9</c:v>
                </c:pt>
                <c:pt idx="7">
                  <c:v>51</c:v>
                </c:pt>
                <c:pt idx="8">
                  <c:v>43.5</c:v>
                </c:pt>
                <c:pt idx="9">
                  <c:v>57.3</c:v>
                </c:pt>
                <c:pt idx="10">
                  <c:v>40</c:v>
                </c:pt>
                <c:pt idx="11">
                  <c:v>48.7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7B-424A-806B-388592DEF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9012031"/>
        <c:axId val="659011135"/>
      </c:scatterChart>
      <c:valAx>
        <c:axId val="659012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Ad spend (₹ lakh)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011135"/>
        <c:crosses val="autoZero"/>
        <c:crossBetween val="midCat"/>
      </c:valAx>
      <c:valAx>
        <c:axId val="65901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Sales (₹ lakh)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012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9</xdr:row>
      <xdr:rowOff>12700</xdr:rowOff>
    </xdr:from>
    <xdr:to>
      <xdr:col>5</xdr:col>
      <xdr:colOff>1022350</xdr:colOff>
      <xdr:row>23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0F348D-581A-7D34-1E55-E122AA201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1098550</xdr:colOff>
      <xdr:row>9</xdr:row>
      <xdr:rowOff>50800</xdr:rowOff>
    </xdr:from>
    <xdr:to>
      <xdr:col>10</xdr:col>
      <xdr:colOff>171450</xdr:colOff>
      <xdr:row>23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5AC210-2E54-DB39-D066-D8821F40F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349250</xdr:colOff>
      <xdr:row>9</xdr:row>
      <xdr:rowOff>139700</xdr:rowOff>
    </xdr:from>
    <xdr:to>
      <xdr:col>8</xdr:col>
      <xdr:colOff>311150</xdr:colOff>
      <xdr:row>24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A5E02D-F8B2-D8CC-1E53-EC2B11D54B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336550</xdr:colOff>
      <xdr:row>1</xdr:row>
      <xdr:rowOff>82550</xdr:rowOff>
    </xdr:from>
    <xdr:to>
      <xdr:col>11</xdr:col>
      <xdr:colOff>781050</xdr:colOff>
      <xdr:row>15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7A98B1-66C5-6D62-FA9A-43F36220E3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336550</xdr:colOff>
      <xdr:row>33</xdr:row>
      <xdr:rowOff>6350</xdr:rowOff>
    </xdr:from>
    <xdr:to>
      <xdr:col>11</xdr:col>
      <xdr:colOff>781050</xdr:colOff>
      <xdr:row>47</xdr:row>
      <xdr:rowOff>82550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CE99784-2332-A375-5C97-CD5330350D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336550</xdr:colOff>
      <xdr:row>17</xdr:row>
      <xdr:rowOff>19050</xdr:rowOff>
    </xdr:from>
    <xdr:to>
      <xdr:col>11</xdr:col>
      <xdr:colOff>781050</xdr:colOff>
      <xdr:row>31</xdr:row>
      <xdr:rowOff>95250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85A92A3-B632-2A18-B8AB-81DE2AF9A1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14</xdr:row>
      <xdr:rowOff>25400</xdr:rowOff>
    </xdr:from>
    <xdr:to>
      <xdr:col>7</xdr:col>
      <xdr:colOff>152400</xdr:colOff>
      <xdr:row>32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3D5C76-D866-B0BD-6EB5-567976AB43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aan Jauhar" refreshedDate="46296.465078240741" createdVersion="8" refreshedVersion="8" minRefreshableVersion="3" recordCount="80" xr:uid="{6D6B43F5-F24E-E444-AB7C-AB8517878728}">
  <cacheSource type="worksheet">
    <worksheetSource ref="A1:D81" sheet="P3 Laptops"/>
  </cacheSource>
  <cacheFields count="4">
    <cacheField name="Sale" numFmtId="0">
      <sharedItems containsSemiMixedTypes="0" containsString="0" containsNumber="1" containsInteger="1" minValue="1" maxValue="80"/>
    </cacheField>
    <cacheField name="Brand" numFmtId="0">
      <sharedItems count="4">
        <s v="Dell"/>
        <s v="HP"/>
        <s v="Lenovo"/>
        <s v="Apple"/>
      </sharedItems>
    </cacheField>
    <cacheField name="Price (Rs)" numFmtId="3">
      <sharedItems containsSemiMixedTypes="0" containsString="0" containsNumber="1" containsInteger="1" minValue="32700" maxValue="146300" count="75">
        <n v="66100"/>
        <n v="89900"/>
        <n v="44600"/>
        <n v="92400"/>
        <n v="64000"/>
        <n v="37500"/>
        <n v="58800"/>
        <n v="75100"/>
        <n v="41300"/>
        <n v="45200"/>
        <n v="45000"/>
        <n v="80300"/>
        <n v="48300"/>
        <n v="64300"/>
        <n v="37800"/>
        <n v="51000"/>
        <n v="53200"/>
        <n v="61600"/>
        <n v="41100"/>
        <n v="40100"/>
        <n v="42300"/>
        <n v="77700"/>
        <n v="90400"/>
        <n v="37000"/>
        <n v="123600"/>
        <n v="34600"/>
        <n v="83500"/>
        <n v="46700"/>
        <n v="50800"/>
        <n v="44800"/>
        <n v="43600"/>
        <n v="74300"/>
        <n v="43400"/>
        <n v="47100"/>
        <n v="50000"/>
        <n v="69900"/>
        <n v="32700"/>
        <n v="83900"/>
        <n v="114900"/>
        <n v="54300"/>
        <n v="139900"/>
        <n v="134200"/>
        <n v="46100"/>
        <n v="108400"/>
        <n v="137200"/>
        <n v="50300"/>
        <n v="68500"/>
        <n v="58900"/>
        <n v="87200"/>
        <n v="67700"/>
        <n v="51500"/>
        <n v="63900"/>
        <n v="57100"/>
        <n v="130100"/>
        <n v="57900"/>
        <n v="78800"/>
        <n v="50900"/>
        <n v="90600"/>
        <n v="53900"/>
        <n v="55500"/>
        <n v="43500"/>
        <n v="46600"/>
        <n v="54800"/>
        <n v="79100"/>
        <n v="65400"/>
        <n v="64500"/>
        <n v="97000"/>
        <n v="36500"/>
        <n v="60500"/>
        <n v="94400"/>
        <n v="84900"/>
        <n v="43100"/>
        <n v="146300"/>
        <n v="91100"/>
        <n v="56200"/>
      </sharedItems>
    </cacheField>
    <cacheField name="Price band" numFmtId="0">
      <sharedItems count="2">
        <s v="60k and above"/>
        <s v="Below 60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n v="1"/>
    <x v="0"/>
    <x v="0"/>
    <x v="0"/>
  </r>
  <r>
    <n v="2"/>
    <x v="0"/>
    <x v="1"/>
    <x v="0"/>
  </r>
  <r>
    <n v="3"/>
    <x v="1"/>
    <x v="2"/>
    <x v="1"/>
  </r>
  <r>
    <n v="4"/>
    <x v="1"/>
    <x v="3"/>
    <x v="0"/>
  </r>
  <r>
    <n v="5"/>
    <x v="0"/>
    <x v="4"/>
    <x v="0"/>
  </r>
  <r>
    <n v="6"/>
    <x v="1"/>
    <x v="5"/>
    <x v="1"/>
  </r>
  <r>
    <n v="7"/>
    <x v="2"/>
    <x v="6"/>
    <x v="1"/>
  </r>
  <r>
    <n v="8"/>
    <x v="2"/>
    <x v="7"/>
    <x v="0"/>
  </r>
  <r>
    <n v="9"/>
    <x v="1"/>
    <x v="8"/>
    <x v="1"/>
  </r>
  <r>
    <n v="10"/>
    <x v="2"/>
    <x v="9"/>
    <x v="1"/>
  </r>
  <r>
    <n v="11"/>
    <x v="2"/>
    <x v="10"/>
    <x v="1"/>
  </r>
  <r>
    <n v="12"/>
    <x v="2"/>
    <x v="5"/>
    <x v="1"/>
  </r>
  <r>
    <n v="13"/>
    <x v="0"/>
    <x v="11"/>
    <x v="0"/>
  </r>
  <r>
    <n v="14"/>
    <x v="2"/>
    <x v="12"/>
    <x v="1"/>
  </r>
  <r>
    <n v="15"/>
    <x v="0"/>
    <x v="13"/>
    <x v="0"/>
  </r>
  <r>
    <n v="16"/>
    <x v="3"/>
    <x v="14"/>
    <x v="1"/>
  </r>
  <r>
    <n v="17"/>
    <x v="0"/>
    <x v="15"/>
    <x v="1"/>
  </r>
  <r>
    <n v="18"/>
    <x v="1"/>
    <x v="16"/>
    <x v="1"/>
  </r>
  <r>
    <n v="19"/>
    <x v="3"/>
    <x v="17"/>
    <x v="0"/>
  </r>
  <r>
    <n v="20"/>
    <x v="2"/>
    <x v="18"/>
    <x v="1"/>
  </r>
  <r>
    <n v="21"/>
    <x v="2"/>
    <x v="19"/>
    <x v="1"/>
  </r>
  <r>
    <n v="22"/>
    <x v="0"/>
    <x v="20"/>
    <x v="1"/>
  </r>
  <r>
    <n v="23"/>
    <x v="0"/>
    <x v="21"/>
    <x v="0"/>
  </r>
  <r>
    <n v="24"/>
    <x v="3"/>
    <x v="22"/>
    <x v="0"/>
  </r>
  <r>
    <n v="25"/>
    <x v="3"/>
    <x v="23"/>
    <x v="1"/>
  </r>
  <r>
    <n v="26"/>
    <x v="3"/>
    <x v="24"/>
    <x v="0"/>
  </r>
  <r>
    <n v="27"/>
    <x v="2"/>
    <x v="25"/>
    <x v="1"/>
  </r>
  <r>
    <n v="28"/>
    <x v="2"/>
    <x v="26"/>
    <x v="0"/>
  </r>
  <r>
    <n v="29"/>
    <x v="2"/>
    <x v="27"/>
    <x v="1"/>
  </r>
  <r>
    <n v="30"/>
    <x v="0"/>
    <x v="28"/>
    <x v="1"/>
  </r>
  <r>
    <n v="31"/>
    <x v="2"/>
    <x v="29"/>
    <x v="1"/>
  </r>
  <r>
    <n v="32"/>
    <x v="1"/>
    <x v="30"/>
    <x v="1"/>
  </r>
  <r>
    <n v="33"/>
    <x v="1"/>
    <x v="31"/>
    <x v="0"/>
  </r>
  <r>
    <n v="34"/>
    <x v="1"/>
    <x v="32"/>
    <x v="1"/>
  </r>
  <r>
    <n v="35"/>
    <x v="1"/>
    <x v="33"/>
    <x v="1"/>
  </r>
  <r>
    <n v="36"/>
    <x v="2"/>
    <x v="34"/>
    <x v="1"/>
  </r>
  <r>
    <n v="37"/>
    <x v="2"/>
    <x v="35"/>
    <x v="0"/>
  </r>
  <r>
    <n v="38"/>
    <x v="1"/>
    <x v="36"/>
    <x v="1"/>
  </r>
  <r>
    <n v="39"/>
    <x v="3"/>
    <x v="37"/>
    <x v="0"/>
  </r>
  <r>
    <n v="40"/>
    <x v="3"/>
    <x v="38"/>
    <x v="0"/>
  </r>
  <r>
    <n v="41"/>
    <x v="1"/>
    <x v="39"/>
    <x v="1"/>
  </r>
  <r>
    <n v="42"/>
    <x v="3"/>
    <x v="40"/>
    <x v="0"/>
  </r>
  <r>
    <n v="43"/>
    <x v="3"/>
    <x v="41"/>
    <x v="0"/>
  </r>
  <r>
    <n v="44"/>
    <x v="2"/>
    <x v="42"/>
    <x v="1"/>
  </r>
  <r>
    <n v="45"/>
    <x v="3"/>
    <x v="43"/>
    <x v="0"/>
  </r>
  <r>
    <n v="46"/>
    <x v="2"/>
    <x v="34"/>
    <x v="1"/>
  </r>
  <r>
    <n v="47"/>
    <x v="3"/>
    <x v="44"/>
    <x v="0"/>
  </r>
  <r>
    <n v="48"/>
    <x v="0"/>
    <x v="6"/>
    <x v="1"/>
  </r>
  <r>
    <n v="49"/>
    <x v="0"/>
    <x v="45"/>
    <x v="1"/>
  </r>
  <r>
    <n v="50"/>
    <x v="1"/>
    <x v="46"/>
    <x v="0"/>
  </r>
  <r>
    <n v="51"/>
    <x v="1"/>
    <x v="47"/>
    <x v="1"/>
  </r>
  <r>
    <n v="52"/>
    <x v="2"/>
    <x v="48"/>
    <x v="0"/>
  </r>
  <r>
    <n v="53"/>
    <x v="1"/>
    <x v="49"/>
    <x v="0"/>
  </r>
  <r>
    <n v="54"/>
    <x v="0"/>
    <x v="50"/>
    <x v="1"/>
  </r>
  <r>
    <n v="55"/>
    <x v="1"/>
    <x v="51"/>
    <x v="0"/>
  </r>
  <r>
    <n v="56"/>
    <x v="0"/>
    <x v="52"/>
    <x v="1"/>
  </r>
  <r>
    <n v="57"/>
    <x v="3"/>
    <x v="53"/>
    <x v="0"/>
  </r>
  <r>
    <n v="58"/>
    <x v="0"/>
    <x v="54"/>
    <x v="1"/>
  </r>
  <r>
    <n v="59"/>
    <x v="1"/>
    <x v="55"/>
    <x v="0"/>
  </r>
  <r>
    <n v="60"/>
    <x v="1"/>
    <x v="56"/>
    <x v="1"/>
  </r>
  <r>
    <n v="61"/>
    <x v="3"/>
    <x v="57"/>
    <x v="0"/>
  </r>
  <r>
    <n v="62"/>
    <x v="0"/>
    <x v="12"/>
    <x v="1"/>
  </r>
  <r>
    <n v="63"/>
    <x v="1"/>
    <x v="58"/>
    <x v="1"/>
  </r>
  <r>
    <n v="64"/>
    <x v="1"/>
    <x v="59"/>
    <x v="1"/>
  </r>
  <r>
    <n v="65"/>
    <x v="0"/>
    <x v="60"/>
    <x v="1"/>
  </r>
  <r>
    <n v="66"/>
    <x v="1"/>
    <x v="61"/>
    <x v="1"/>
  </r>
  <r>
    <n v="67"/>
    <x v="0"/>
    <x v="62"/>
    <x v="1"/>
  </r>
  <r>
    <n v="68"/>
    <x v="3"/>
    <x v="63"/>
    <x v="0"/>
  </r>
  <r>
    <n v="69"/>
    <x v="2"/>
    <x v="64"/>
    <x v="0"/>
  </r>
  <r>
    <n v="70"/>
    <x v="0"/>
    <x v="65"/>
    <x v="0"/>
  </r>
  <r>
    <n v="71"/>
    <x v="3"/>
    <x v="66"/>
    <x v="0"/>
  </r>
  <r>
    <n v="72"/>
    <x v="2"/>
    <x v="67"/>
    <x v="1"/>
  </r>
  <r>
    <n v="73"/>
    <x v="3"/>
    <x v="68"/>
    <x v="0"/>
  </r>
  <r>
    <n v="74"/>
    <x v="2"/>
    <x v="18"/>
    <x v="1"/>
  </r>
  <r>
    <n v="75"/>
    <x v="3"/>
    <x v="69"/>
    <x v="0"/>
  </r>
  <r>
    <n v="76"/>
    <x v="2"/>
    <x v="70"/>
    <x v="0"/>
  </r>
  <r>
    <n v="77"/>
    <x v="0"/>
    <x v="71"/>
    <x v="1"/>
  </r>
  <r>
    <n v="78"/>
    <x v="3"/>
    <x v="72"/>
    <x v="0"/>
  </r>
  <r>
    <n v="79"/>
    <x v="0"/>
    <x v="73"/>
    <x v="0"/>
  </r>
  <r>
    <n v="80"/>
    <x v="2"/>
    <x v="7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582A1-A1D4-4246-A1D5-E5277966D7D5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9:F43" firstHeaderRow="1" firstDataRow="2" firstDataCol="1"/>
  <pivotFields count="4">
    <pivotField showAll="0"/>
    <pivotField axis="axisCol" dataField="1" showAll="0">
      <items count="5">
        <item x="3"/>
        <item x="0"/>
        <item x="1"/>
        <item x="2"/>
        <item t="default"/>
      </items>
    </pivotField>
    <pivotField numFmtId="3" showAll="0">
      <items count="76">
        <item x="36"/>
        <item x="25"/>
        <item x="67"/>
        <item x="23"/>
        <item x="5"/>
        <item x="14"/>
        <item x="19"/>
        <item x="18"/>
        <item x="8"/>
        <item x="20"/>
        <item x="71"/>
        <item x="32"/>
        <item x="60"/>
        <item x="30"/>
        <item x="2"/>
        <item x="29"/>
        <item x="10"/>
        <item x="9"/>
        <item x="42"/>
        <item x="61"/>
        <item x="27"/>
        <item x="33"/>
        <item x="12"/>
        <item x="34"/>
        <item x="45"/>
        <item x="28"/>
        <item x="56"/>
        <item x="15"/>
        <item x="50"/>
        <item x="16"/>
        <item x="58"/>
        <item x="39"/>
        <item x="62"/>
        <item x="59"/>
        <item x="74"/>
        <item x="52"/>
        <item x="54"/>
        <item x="6"/>
        <item x="47"/>
        <item x="68"/>
        <item x="17"/>
        <item x="51"/>
        <item x="4"/>
        <item x="13"/>
        <item x="65"/>
        <item x="64"/>
        <item x="0"/>
        <item x="49"/>
        <item x="46"/>
        <item x="35"/>
        <item x="31"/>
        <item x="7"/>
        <item x="21"/>
        <item x="55"/>
        <item x="63"/>
        <item x="11"/>
        <item x="26"/>
        <item x="37"/>
        <item x="70"/>
        <item x="48"/>
        <item x="1"/>
        <item x="22"/>
        <item x="57"/>
        <item x="73"/>
        <item x="3"/>
        <item x="69"/>
        <item x="66"/>
        <item x="43"/>
        <item x="38"/>
        <item x="24"/>
        <item x="53"/>
        <item x="41"/>
        <item x="44"/>
        <item x="40"/>
        <item x="72"/>
        <item t="default"/>
      </items>
    </pivotField>
    <pivotField axis="axisRow" showAll="0">
      <items count="3"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Brand" fld="1" subtotal="count" showDataAs="percentOfCol" baseField="0" baseItem="0" numFmtId="10"/>
  </dataFields>
  <chartFormats count="12">
    <chartFormat chart="1" format="4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" format="6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1" format="7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CB5F3E-1A90-FD40-BB4B-15E94B2FEDDC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22:F26" firstHeaderRow="1" firstDataRow="2" firstDataCol="1"/>
  <pivotFields count="4">
    <pivotField showAll="0"/>
    <pivotField axis="axisCol" dataField="1" showAll="0">
      <items count="5">
        <item x="3"/>
        <item x="0"/>
        <item x="1"/>
        <item x="2"/>
        <item t="default"/>
      </items>
    </pivotField>
    <pivotField numFmtId="3" showAll="0">
      <items count="76">
        <item x="36"/>
        <item x="25"/>
        <item x="67"/>
        <item x="23"/>
        <item x="5"/>
        <item x="14"/>
        <item x="19"/>
        <item x="18"/>
        <item x="8"/>
        <item x="20"/>
        <item x="71"/>
        <item x="32"/>
        <item x="60"/>
        <item x="30"/>
        <item x="2"/>
        <item x="29"/>
        <item x="10"/>
        <item x="9"/>
        <item x="42"/>
        <item x="61"/>
        <item x="27"/>
        <item x="33"/>
        <item x="12"/>
        <item x="34"/>
        <item x="45"/>
        <item x="28"/>
        <item x="56"/>
        <item x="15"/>
        <item x="50"/>
        <item x="16"/>
        <item x="58"/>
        <item x="39"/>
        <item x="62"/>
        <item x="59"/>
        <item x="74"/>
        <item x="52"/>
        <item x="54"/>
        <item x="6"/>
        <item x="47"/>
        <item x="68"/>
        <item x="17"/>
        <item x="51"/>
        <item x="4"/>
        <item x="13"/>
        <item x="65"/>
        <item x="64"/>
        <item x="0"/>
        <item x="49"/>
        <item x="46"/>
        <item x="35"/>
        <item x="31"/>
        <item x="7"/>
        <item x="21"/>
        <item x="55"/>
        <item x="63"/>
        <item x="11"/>
        <item x="26"/>
        <item x="37"/>
        <item x="70"/>
        <item x="48"/>
        <item x="1"/>
        <item x="22"/>
        <item x="57"/>
        <item x="73"/>
        <item x="3"/>
        <item x="69"/>
        <item x="66"/>
        <item x="43"/>
        <item x="38"/>
        <item x="24"/>
        <item x="53"/>
        <item x="41"/>
        <item x="44"/>
        <item x="40"/>
        <item x="72"/>
        <item t="default"/>
      </items>
    </pivotField>
    <pivotField axis="axisRow" showAll="0">
      <items count="3"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Brand" fld="1" subtotal="count" showDataAs="percentOfRow" baseField="0" baseItem="0" numFmtId="10"/>
  </dataFields>
  <chartFormats count="28">
    <chartFormat chart="3" format="4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3" format="7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7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C15581-13F8-BB4B-9796-7C1868BC348C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F7" firstHeaderRow="1" firstDataRow="2" firstDataCol="1"/>
  <pivotFields count="4">
    <pivotField showAll="0"/>
    <pivotField axis="axisCol" dataField="1" showAll="0">
      <items count="5">
        <item x="3"/>
        <item x="0"/>
        <item x="1"/>
        <item x="2"/>
        <item t="default"/>
      </items>
    </pivotField>
    <pivotField numFmtId="3" showAll="0">
      <items count="76">
        <item x="36"/>
        <item x="25"/>
        <item x="67"/>
        <item x="23"/>
        <item x="5"/>
        <item x="14"/>
        <item x="19"/>
        <item x="18"/>
        <item x="8"/>
        <item x="20"/>
        <item x="71"/>
        <item x="32"/>
        <item x="60"/>
        <item x="30"/>
        <item x="2"/>
        <item x="29"/>
        <item x="10"/>
        <item x="9"/>
        <item x="42"/>
        <item x="61"/>
        <item x="27"/>
        <item x="33"/>
        <item x="12"/>
        <item x="34"/>
        <item x="45"/>
        <item x="28"/>
        <item x="56"/>
        <item x="15"/>
        <item x="50"/>
        <item x="16"/>
        <item x="58"/>
        <item x="39"/>
        <item x="62"/>
        <item x="59"/>
        <item x="74"/>
        <item x="52"/>
        <item x="54"/>
        <item x="6"/>
        <item x="47"/>
        <item x="68"/>
        <item x="17"/>
        <item x="51"/>
        <item x="4"/>
        <item x="13"/>
        <item x="65"/>
        <item x="64"/>
        <item x="0"/>
        <item x="49"/>
        <item x="46"/>
        <item x="35"/>
        <item x="31"/>
        <item x="7"/>
        <item x="21"/>
        <item x="55"/>
        <item x="63"/>
        <item x="11"/>
        <item x="26"/>
        <item x="37"/>
        <item x="70"/>
        <item x="48"/>
        <item x="1"/>
        <item x="22"/>
        <item x="57"/>
        <item x="73"/>
        <item x="3"/>
        <item x="69"/>
        <item x="66"/>
        <item x="43"/>
        <item x="38"/>
        <item x="24"/>
        <item x="53"/>
        <item x="41"/>
        <item x="44"/>
        <item x="40"/>
        <item x="72"/>
        <item t="default"/>
      </items>
    </pivotField>
    <pivotField axis="axisRow" showAll="0">
      <items count="3"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Brand" fld="1" subtotal="count" baseField="0" baseItem="0"/>
  </dataFields>
  <chartFormats count="8">
    <chartFormat chart="0" format="4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7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A5" sqref="A5"/>
    </sheetView>
  </sheetViews>
  <sheetFormatPr baseColWidth="10" defaultColWidth="8.83203125" defaultRowHeight="15" x14ac:dyDescent="0.2"/>
  <cols>
    <col min="1" max="1" width="110" customWidth="1"/>
  </cols>
  <sheetData>
    <row r="1" spans="1:1" ht="17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  <row r="4" spans="1:1" x14ac:dyDescent="0.2">
      <c r="A4" s="2" t="s">
        <v>3</v>
      </c>
    </row>
    <row r="5" spans="1:1" x14ac:dyDescent="0.2">
      <c r="A5" s="2" t="s">
        <v>4</v>
      </c>
    </row>
    <row r="9" spans="1:1" ht="19" x14ac:dyDescent="0.25">
      <c r="A9" s="7" t="s">
        <v>37</v>
      </c>
    </row>
    <row r="10" spans="1:1" ht="19" x14ac:dyDescent="0.25">
      <c r="A10" s="8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workbookViewId="0">
      <pane ySplit="1" topLeftCell="A2" activePane="bottomLeft" state="frozen"/>
      <selection pane="bottomLeft" activeCell="K7" sqref="K7"/>
    </sheetView>
  </sheetViews>
  <sheetFormatPr baseColWidth="10" defaultColWidth="8.83203125" defaultRowHeight="15" x14ac:dyDescent="0.2"/>
  <cols>
    <col min="1" max="1" width="11" customWidth="1"/>
    <col min="2" max="2" width="16" customWidth="1"/>
    <col min="4" max="4" width="24.83203125" customWidth="1"/>
    <col min="5" max="5" width="21.83203125" customWidth="1"/>
    <col min="6" max="6" width="23.33203125" customWidth="1"/>
    <col min="7" max="7" width="22.33203125" customWidth="1"/>
    <col min="8" max="8" width="19.33203125" customWidth="1"/>
  </cols>
  <sheetData>
    <row r="1" spans="1:8" x14ac:dyDescent="0.2">
      <c r="A1" s="3" t="s">
        <v>5</v>
      </c>
      <c r="B1" s="3" t="s">
        <v>6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43</v>
      </c>
    </row>
    <row r="2" spans="1:8" x14ac:dyDescent="0.2">
      <c r="A2" s="5">
        <v>1</v>
      </c>
      <c r="B2" s="5" t="s">
        <v>7</v>
      </c>
      <c r="D2" s="9" t="s">
        <v>7</v>
      </c>
      <c r="E2">
        <f>COUNTIF($B$2:$B$41, D2)</f>
        <v>17</v>
      </c>
      <c r="F2">
        <f>E2/$E$7</f>
        <v>0.42499999999999999</v>
      </c>
      <c r="G2">
        <f>F2*100</f>
        <v>42.5</v>
      </c>
      <c r="H2">
        <f>F2*360</f>
        <v>153</v>
      </c>
    </row>
    <row r="3" spans="1:8" x14ac:dyDescent="0.2">
      <c r="A3" s="5">
        <v>2</v>
      </c>
      <c r="B3" s="5" t="s">
        <v>8</v>
      </c>
      <c r="D3" s="11" t="s">
        <v>9</v>
      </c>
      <c r="E3">
        <f t="shared" ref="E3:E7" si="0">COUNTIF($B$2:$B$41, D3)</f>
        <v>9</v>
      </c>
      <c r="F3">
        <f t="shared" ref="F3:F6" si="1">E3/$E$7</f>
        <v>0.22500000000000001</v>
      </c>
      <c r="G3">
        <f t="shared" ref="G3:G7" si="2">F3*100</f>
        <v>22.5</v>
      </c>
      <c r="H3">
        <f t="shared" ref="H3:H7" si="3">F3*360</f>
        <v>81</v>
      </c>
    </row>
    <row r="4" spans="1:8" x14ac:dyDescent="0.2">
      <c r="A4" s="5">
        <v>3</v>
      </c>
      <c r="B4" s="5" t="s">
        <v>7</v>
      </c>
      <c r="D4" s="11" t="s">
        <v>10</v>
      </c>
      <c r="E4">
        <f t="shared" si="0"/>
        <v>5</v>
      </c>
      <c r="F4">
        <f t="shared" si="1"/>
        <v>0.125</v>
      </c>
      <c r="G4">
        <f t="shared" si="2"/>
        <v>12.5</v>
      </c>
      <c r="H4">
        <f t="shared" si="3"/>
        <v>45</v>
      </c>
    </row>
    <row r="5" spans="1:8" x14ac:dyDescent="0.2">
      <c r="A5" s="5">
        <v>4</v>
      </c>
      <c r="B5" s="5" t="s">
        <v>9</v>
      </c>
      <c r="D5" s="9" t="s">
        <v>8</v>
      </c>
      <c r="E5">
        <f t="shared" si="0"/>
        <v>6</v>
      </c>
      <c r="F5">
        <f t="shared" si="1"/>
        <v>0.15</v>
      </c>
      <c r="G5">
        <f t="shared" si="2"/>
        <v>15</v>
      </c>
      <c r="H5">
        <f t="shared" si="3"/>
        <v>54</v>
      </c>
    </row>
    <row r="6" spans="1:8" x14ac:dyDescent="0.2">
      <c r="A6" s="5">
        <v>5</v>
      </c>
      <c r="B6" s="5" t="s">
        <v>7</v>
      </c>
      <c r="D6" s="9" t="s">
        <v>11</v>
      </c>
      <c r="E6">
        <f t="shared" si="0"/>
        <v>3</v>
      </c>
      <c r="F6">
        <f t="shared" si="1"/>
        <v>7.4999999999999997E-2</v>
      </c>
      <c r="G6">
        <f t="shared" si="2"/>
        <v>7.5</v>
      </c>
      <c r="H6">
        <f t="shared" si="3"/>
        <v>27</v>
      </c>
    </row>
    <row r="7" spans="1:8" x14ac:dyDescent="0.2">
      <c r="A7" s="5">
        <v>6</v>
      </c>
      <c r="B7" s="5" t="s">
        <v>7</v>
      </c>
      <c r="D7" s="10" t="s">
        <v>42</v>
      </c>
      <c r="E7">
        <f>SUM(E2:E6)</f>
        <v>40</v>
      </c>
      <c r="F7">
        <f>SUM(F2:F6)</f>
        <v>1</v>
      </c>
      <c r="G7">
        <f t="shared" si="2"/>
        <v>100</v>
      </c>
      <c r="H7">
        <f t="shared" si="3"/>
        <v>360</v>
      </c>
    </row>
    <row r="8" spans="1:8" x14ac:dyDescent="0.2">
      <c r="A8" s="5">
        <v>7</v>
      </c>
      <c r="B8" s="5" t="s">
        <v>9</v>
      </c>
    </row>
    <row r="9" spans="1:8" x14ac:dyDescent="0.2">
      <c r="A9" s="5">
        <v>8</v>
      </c>
      <c r="B9" s="5" t="s">
        <v>9</v>
      </c>
    </row>
    <row r="10" spans="1:8" x14ac:dyDescent="0.2">
      <c r="A10" s="5">
        <v>9</v>
      </c>
      <c r="B10" s="5" t="s">
        <v>7</v>
      </c>
    </row>
    <row r="11" spans="1:8" x14ac:dyDescent="0.2">
      <c r="A11" s="5">
        <v>10</v>
      </c>
      <c r="B11" s="5" t="s">
        <v>7</v>
      </c>
    </row>
    <row r="12" spans="1:8" x14ac:dyDescent="0.2">
      <c r="A12" s="5">
        <v>11</v>
      </c>
      <c r="B12" s="5" t="s">
        <v>11</v>
      </c>
    </row>
    <row r="13" spans="1:8" x14ac:dyDescent="0.2">
      <c r="A13" s="5">
        <v>12</v>
      </c>
      <c r="B13" s="5" t="s">
        <v>7</v>
      </c>
    </row>
    <row r="14" spans="1:8" x14ac:dyDescent="0.2">
      <c r="A14" s="5">
        <v>13</v>
      </c>
      <c r="B14" s="5" t="s">
        <v>10</v>
      </c>
    </row>
    <row r="15" spans="1:8" x14ac:dyDescent="0.2">
      <c r="A15" s="5">
        <v>14</v>
      </c>
      <c r="B15" s="5" t="s">
        <v>7</v>
      </c>
    </row>
    <row r="16" spans="1:8" x14ac:dyDescent="0.2">
      <c r="A16" s="5">
        <v>15</v>
      </c>
      <c r="B16" s="5" t="s">
        <v>11</v>
      </c>
    </row>
    <row r="17" spans="1:2" x14ac:dyDescent="0.2">
      <c r="A17" s="5">
        <v>16</v>
      </c>
      <c r="B17" s="5" t="s">
        <v>9</v>
      </c>
    </row>
    <row r="18" spans="1:2" x14ac:dyDescent="0.2">
      <c r="A18" s="5">
        <v>17</v>
      </c>
      <c r="B18" s="5" t="s">
        <v>9</v>
      </c>
    </row>
    <row r="19" spans="1:2" x14ac:dyDescent="0.2">
      <c r="A19" s="5">
        <v>18</v>
      </c>
      <c r="B19" s="5" t="s">
        <v>8</v>
      </c>
    </row>
    <row r="20" spans="1:2" x14ac:dyDescent="0.2">
      <c r="A20" s="5">
        <v>19</v>
      </c>
      <c r="B20" s="5" t="s">
        <v>10</v>
      </c>
    </row>
    <row r="21" spans="1:2" x14ac:dyDescent="0.2">
      <c r="A21" s="5">
        <v>20</v>
      </c>
      <c r="B21" s="5" t="s">
        <v>9</v>
      </c>
    </row>
    <row r="22" spans="1:2" x14ac:dyDescent="0.2">
      <c r="A22" s="5">
        <v>21</v>
      </c>
      <c r="B22" s="5" t="s">
        <v>9</v>
      </c>
    </row>
    <row r="23" spans="1:2" x14ac:dyDescent="0.2">
      <c r="A23" s="5">
        <v>22</v>
      </c>
      <c r="B23" s="5" t="s">
        <v>8</v>
      </c>
    </row>
    <row r="24" spans="1:2" x14ac:dyDescent="0.2">
      <c r="A24" s="5">
        <v>23</v>
      </c>
      <c r="B24" s="5" t="s">
        <v>7</v>
      </c>
    </row>
    <row r="25" spans="1:2" x14ac:dyDescent="0.2">
      <c r="A25" s="5">
        <v>24</v>
      </c>
      <c r="B25" s="5" t="s">
        <v>10</v>
      </c>
    </row>
    <row r="26" spans="1:2" x14ac:dyDescent="0.2">
      <c r="A26" s="5">
        <v>25</v>
      </c>
      <c r="B26" s="5" t="s">
        <v>11</v>
      </c>
    </row>
    <row r="27" spans="1:2" x14ac:dyDescent="0.2">
      <c r="A27" s="5">
        <v>26</v>
      </c>
      <c r="B27" s="5" t="s">
        <v>7</v>
      </c>
    </row>
    <row r="28" spans="1:2" x14ac:dyDescent="0.2">
      <c r="A28" s="5">
        <v>27</v>
      </c>
      <c r="B28" s="5" t="s">
        <v>7</v>
      </c>
    </row>
    <row r="29" spans="1:2" x14ac:dyDescent="0.2">
      <c r="A29" s="5">
        <v>28</v>
      </c>
      <c r="B29" s="5" t="s">
        <v>7</v>
      </c>
    </row>
    <row r="30" spans="1:2" x14ac:dyDescent="0.2">
      <c r="A30" s="5">
        <v>29</v>
      </c>
      <c r="B30" s="5" t="s">
        <v>8</v>
      </c>
    </row>
    <row r="31" spans="1:2" x14ac:dyDescent="0.2">
      <c r="A31" s="5">
        <v>30</v>
      </c>
      <c r="B31" s="5" t="s">
        <v>7</v>
      </c>
    </row>
    <row r="32" spans="1:2" x14ac:dyDescent="0.2">
      <c r="A32" s="5">
        <v>31</v>
      </c>
      <c r="B32" s="5" t="s">
        <v>10</v>
      </c>
    </row>
    <row r="33" spans="1:2" x14ac:dyDescent="0.2">
      <c r="A33" s="5">
        <v>32</v>
      </c>
      <c r="B33" s="5" t="s">
        <v>8</v>
      </c>
    </row>
    <row r="34" spans="1:2" x14ac:dyDescent="0.2">
      <c r="A34" s="5">
        <v>33</v>
      </c>
      <c r="B34" s="5" t="s">
        <v>9</v>
      </c>
    </row>
    <row r="35" spans="1:2" x14ac:dyDescent="0.2">
      <c r="A35" s="5">
        <v>34</v>
      </c>
      <c r="B35" s="5" t="s">
        <v>7</v>
      </c>
    </row>
    <row r="36" spans="1:2" x14ac:dyDescent="0.2">
      <c r="A36" s="5">
        <v>35</v>
      </c>
      <c r="B36" s="5" t="s">
        <v>8</v>
      </c>
    </row>
    <row r="37" spans="1:2" x14ac:dyDescent="0.2">
      <c r="A37" s="5">
        <v>36</v>
      </c>
      <c r="B37" s="5" t="s">
        <v>7</v>
      </c>
    </row>
    <row r="38" spans="1:2" x14ac:dyDescent="0.2">
      <c r="A38" s="5">
        <v>37</v>
      </c>
      <c r="B38" s="5" t="s">
        <v>7</v>
      </c>
    </row>
    <row r="39" spans="1:2" x14ac:dyDescent="0.2">
      <c r="A39" s="5">
        <v>38</v>
      </c>
      <c r="B39" s="5" t="s">
        <v>10</v>
      </c>
    </row>
    <row r="40" spans="1:2" x14ac:dyDescent="0.2">
      <c r="A40" s="5">
        <v>39</v>
      </c>
      <c r="B40" s="5" t="s">
        <v>7</v>
      </c>
    </row>
    <row r="41" spans="1:2" x14ac:dyDescent="0.2">
      <c r="A41" s="5">
        <v>40</v>
      </c>
      <c r="B41" s="5" t="s">
        <v>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1"/>
  <sheetViews>
    <sheetView workbookViewId="0">
      <pane ySplit="1" topLeftCell="A2" activePane="bottomLeft" state="frozen"/>
      <selection pane="bottomLeft" activeCell="M11" sqref="M11"/>
    </sheetView>
  </sheetViews>
  <sheetFormatPr baseColWidth="10" defaultColWidth="8.83203125" defaultRowHeight="15" x14ac:dyDescent="0.2"/>
  <cols>
    <col min="1" max="1" width="9" customWidth="1"/>
    <col min="2" max="2" width="20" customWidth="1"/>
    <col min="4" max="4" width="18.1640625" customWidth="1"/>
    <col min="5" max="5" width="15.83203125" customWidth="1"/>
    <col min="10" max="10" width="13.6640625" customWidth="1"/>
    <col min="11" max="11" width="14.5" customWidth="1"/>
    <col min="12" max="12" width="14" customWidth="1"/>
    <col min="13" max="13" width="18.33203125" customWidth="1"/>
    <col min="14" max="14" width="13.5" customWidth="1"/>
    <col min="15" max="15" width="14.5" customWidth="1"/>
  </cols>
  <sheetData>
    <row r="1" spans="1:15" x14ac:dyDescent="0.2">
      <c r="A1" s="3" t="s">
        <v>12</v>
      </c>
      <c r="B1" s="3" t="s">
        <v>13</v>
      </c>
      <c r="D1" s="4" t="s">
        <v>44</v>
      </c>
      <c r="E1">
        <f>COUNT(B2:B51)</f>
        <v>50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x14ac:dyDescent="0.2">
      <c r="A2" s="5">
        <v>1</v>
      </c>
      <c r="B2" s="5">
        <v>49</v>
      </c>
      <c r="D2" t="s">
        <v>45</v>
      </c>
      <c r="E2">
        <f>MIN(B2:B51)</f>
        <v>16</v>
      </c>
      <c r="G2">
        <v>15</v>
      </c>
      <c r="H2">
        <v>21</v>
      </c>
      <c r="I2" t="str">
        <f>G2&amp;"-"&amp;H2</f>
        <v>15-21</v>
      </c>
      <c r="J2">
        <f>COUNTIFS($B$2:$B$51, "&gt;="&amp;G2, $B$2:$B$51, "&lt;="&amp;H2)</f>
        <v>2</v>
      </c>
      <c r="K2">
        <f>J2/$J$9</f>
        <v>0.04</v>
      </c>
      <c r="L2">
        <f>K2*100</f>
        <v>4</v>
      </c>
      <c r="M2">
        <f>SUM($J$2:J2)</f>
        <v>2</v>
      </c>
      <c r="N2">
        <f>M2/$J$9</f>
        <v>0.04</v>
      </c>
      <c r="O2">
        <f>N2*100</f>
        <v>4</v>
      </c>
    </row>
    <row r="3" spans="1:15" x14ac:dyDescent="0.2">
      <c r="A3" s="5">
        <v>2</v>
      </c>
      <c r="B3" s="5">
        <v>31</v>
      </c>
      <c r="D3" t="s">
        <v>46</v>
      </c>
      <c r="E3">
        <f>MAX(B2:B51)</f>
        <v>63</v>
      </c>
      <c r="G3">
        <f>G2+7</f>
        <v>22</v>
      </c>
      <c r="H3">
        <f>H2+7</f>
        <v>28</v>
      </c>
      <c r="I3" t="str">
        <f t="shared" ref="I3:I8" si="0">G3&amp;"-"&amp;H3</f>
        <v>22-28</v>
      </c>
      <c r="J3">
        <f t="shared" ref="J3:J8" si="1">COUNTIFS($B$2:$B$51, "&gt;="&amp;G3, $B$2:$B$51, "&lt;="&amp;H3)</f>
        <v>5</v>
      </c>
      <c r="K3">
        <f t="shared" ref="K3:K8" si="2">J3/$J$9</f>
        <v>0.1</v>
      </c>
      <c r="L3">
        <f t="shared" ref="L3:L8" si="3">K3*100</f>
        <v>10</v>
      </c>
      <c r="M3">
        <f>SUM($J$2:J3)</f>
        <v>7</v>
      </c>
      <c r="N3">
        <f t="shared" ref="N3:N8" si="4">M3/$J$9</f>
        <v>0.14000000000000001</v>
      </c>
      <c r="O3">
        <f t="shared" ref="O3:O8" si="5">N3*100</f>
        <v>14.000000000000002</v>
      </c>
    </row>
    <row r="4" spans="1:15" x14ac:dyDescent="0.2">
      <c r="A4" s="5">
        <v>3</v>
      </c>
      <c r="B4" s="5">
        <v>49</v>
      </c>
      <c r="D4" t="s">
        <v>47</v>
      </c>
      <c r="E4">
        <f>1+3.3*LOG10(E1)</f>
        <v>6.6066010143088612</v>
      </c>
      <c r="G4">
        <f t="shared" ref="G4:G8" si="6">G3+7</f>
        <v>29</v>
      </c>
      <c r="H4">
        <f t="shared" ref="H4:H8" si="7">H3+7</f>
        <v>35</v>
      </c>
      <c r="I4" t="str">
        <f t="shared" si="0"/>
        <v>29-35</v>
      </c>
      <c r="J4">
        <f t="shared" si="1"/>
        <v>11</v>
      </c>
      <c r="K4">
        <f t="shared" si="2"/>
        <v>0.22</v>
      </c>
      <c r="L4">
        <f t="shared" si="3"/>
        <v>22</v>
      </c>
      <c r="M4">
        <f>SUM($J$2:J4)</f>
        <v>18</v>
      </c>
      <c r="N4">
        <f t="shared" si="4"/>
        <v>0.36</v>
      </c>
      <c r="O4">
        <f t="shared" si="5"/>
        <v>36</v>
      </c>
    </row>
    <row r="5" spans="1:15" x14ac:dyDescent="0.2">
      <c r="A5" s="5">
        <v>4</v>
      </c>
      <c r="B5" s="5">
        <v>45</v>
      </c>
      <c r="D5" t="s">
        <v>48</v>
      </c>
      <c r="E5">
        <f>ROUNDUP(E4, 0)</f>
        <v>7</v>
      </c>
      <c r="G5">
        <f t="shared" si="6"/>
        <v>36</v>
      </c>
      <c r="H5">
        <f t="shared" si="7"/>
        <v>42</v>
      </c>
      <c r="I5" t="str">
        <f t="shared" si="0"/>
        <v>36-42</v>
      </c>
      <c r="J5">
        <f t="shared" si="1"/>
        <v>13</v>
      </c>
      <c r="K5">
        <f t="shared" si="2"/>
        <v>0.26</v>
      </c>
      <c r="L5">
        <f t="shared" si="3"/>
        <v>26</v>
      </c>
      <c r="M5">
        <f>SUM($J$2:J5)</f>
        <v>31</v>
      </c>
      <c r="N5">
        <f t="shared" si="4"/>
        <v>0.62</v>
      </c>
      <c r="O5">
        <f t="shared" si="5"/>
        <v>62</v>
      </c>
    </row>
    <row r="6" spans="1:15" x14ac:dyDescent="0.2">
      <c r="A6" s="5">
        <v>5</v>
      </c>
      <c r="B6" s="5">
        <v>35</v>
      </c>
      <c r="D6" t="s">
        <v>49</v>
      </c>
      <c r="E6">
        <f>(E3-E2)/E5</f>
        <v>6.7142857142857144</v>
      </c>
      <c r="G6">
        <f t="shared" si="6"/>
        <v>43</v>
      </c>
      <c r="H6">
        <f t="shared" si="7"/>
        <v>49</v>
      </c>
      <c r="I6" t="str">
        <f t="shared" si="0"/>
        <v>43-49</v>
      </c>
      <c r="J6">
        <f t="shared" si="1"/>
        <v>8</v>
      </c>
      <c r="K6">
        <f t="shared" si="2"/>
        <v>0.16</v>
      </c>
      <c r="L6">
        <f t="shared" si="3"/>
        <v>16</v>
      </c>
      <c r="M6">
        <f>SUM($J$2:J6)</f>
        <v>39</v>
      </c>
      <c r="N6">
        <f t="shared" si="4"/>
        <v>0.78</v>
      </c>
      <c r="O6">
        <f t="shared" si="5"/>
        <v>78</v>
      </c>
    </row>
    <row r="7" spans="1:15" x14ac:dyDescent="0.2">
      <c r="A7" s="5">
        <v>6</v>
      </c>
      <c r="B7" s="5">
        <v>39</v>
      </c>
      <c r="G7">
        <f t="shared" si="6"/>
        <v>50</v>
      </c>
      <c r="H7">
        <f t="shared" si="7"/>
        <v>56</v>
      </c>
      <c r="I7" t="str">
        <f t="shared" si="0"/>
        <v>50-56</v>
      </c>
      <c r="J7">
        <f t="shared" si="1"/>
        <v>7</v>
      </c>
      <c r="K7">
        <f t="shared" si="2"/>
        <v>0.14000000000000001</v>
      </c>
      <c r="L7">
        <f t="shared" si="3"/>
        <v>14.000000000000002</v>
      </c>
      <c r="M7">
        <f>SUM($J$2:J7)</f>
        <v>46</v>
      </c>
      <c r="N7">
        <f t="shared" si="4"/>
        <v>0.92</v>
      </c>
      <c r="O7">
        <f t="shared" si="5"/>
        <v>92</v>
      </c>
    </row>
    <row r="8" spans="1:15" x14ac:dyDescent="0.2">
      <c r="A8" s="5">
        <v>7</v>
      </c>
      <c r="B8" s="5">
        <v>26</v>
      </c>
      <c r="G8">
        <f t="shared" si="6"/>
        <v>57</v>
      </c>
      <c r="H8">
        <f t="shared" si="7"/>
        <v>63</v>
      </c>
      <c r="I8" t="str">
        <f t="shared" si="0"/>
        <v>57-63</v>
      </c>
      <c r="J8">
        <f t="shared" si="1"/>
        <v>4</v>
      </c>
      <c r="K8">
        <f t="shared" si="2"/>
        <v>0.08</v>
      </c>
      <c r="L8">
        <f t="shared" si="3"/>
        <v>8</v>
      </c>
      <c r="M8">
        <f>SUM($J$2:J8)</f>
        <v>50</v>
      </c>
      <c r="N8">
        <f t="shared" si="4"/>
        <v>1</v>
      </c>
      <c r="O8">
        <f t="shared" si="5"/>
        <v>100</v>
      </c>
    </row>
    <row r="9" spans="1:15" x14ac:dyDescent="0.2">
      <c r="A9" s="5">
        <v>8</v>
      </c>
      <c r="B9" s="5">
        <v>37</v>
      </c>
      <c r="J9">
        <f>SUM(J2:J8)</f>
        <v>50</v>
      </c>
    </row>
    <row r="10" spans="1:15" x14ac:dyDescent="0.2">
      <c r="A10" s="5">
        <v>9</v>
      </c>
      <c r="B10" s="5">
        <v>32</v>
      </c>
      <c r="L10" s="12" t="s">
        <v>59</v>
      </c>
      <c r="M10" s="12"/>
    </row>
    <row r="11" spans="1:15" x14ac:dyDescent="0.2">
      <c r="A11" s="5">
        <v>10</v>
      </c>
      <c r="B11" s="5">
        <v>16</v>
      </c>
      <c r="L11" s="12"/>
      <c r="M11" s="13">
        <f>COUNTIF(B2:B51, "&gt;45")</f>
        <v>17</v>
      </c>
    </row>
    <row r="12" spans="1:15" x14ac:dyDescent="0.2">
      <c r="A12" s="5">
        <v>11</v>
      </c>
      <c r="B12" s="5">
        <v>26</v>
      </c>
    </row>
    <row r="13" spans="1:15" x14ac:dyDescent="0.2">
      <c r="A13" s="5">
        <v>12</v>
      </c>
      <c r="B13" s="5">
        <v>53</v>
      </c>
    </row>
    <row r="14" spans="1:15" x14ac:dyDescent="0.2">
      <c r="A14" s="5">
        <v>13</v>
      </c>
      <c r="B14" s="5">
        <v>34</v>
      </c>
    </row>
    <row r="15" spans="1:15" x14ac:dyDescent="0.2">
      <c r="A15" s="5">
        <v>14</v>
      </c>
      <c r="B15" s="5">
        <v>61</v>
      </c>
    </row>
    <row r="16" spans="1:15" x14ac:dyDescent="0.2">
      <c r="A16" s="5">
        <v>15</v>
      </c>
      <c r="B16" s="5">
        <v>54</v>
      </c>
    </row>
    <row r="17" spans="1:2" x14ac:dyDescent="0.2">
      <c r="A17" s="5">
        <v>16</v>
      </c>
      <c r="B17" s="5">
        <v>53</v>
      </c>
    </row>
    <row r="18" spans="1:2" x14ac:dyDescent="0.2">
      <c r="A18" s="5">
        <v>17</v>
      </c>
      <c r="B18" s="5">
        <v>35</v>
      </c>
    </row>
    <row r="19" spans="1:2" x14ac:dyDescent="0.2">
      <c r="A19" s="5">
        <v>18</v>
      </c>
      <c r="B19" s="5">
        <v>48</v>
      </c>
    </row>
    <row r="20" spans="1:2" x14ac:dyDescent="0.2">
      <c r="A20" s="5">
        <v>19</v>
      </c>
      <c r="B20" s="5">
        <v>55</v>
      </c>
    </row>
    <row r="21" spans="1:2" x14ac:dyDescent="0.2">
      <c r="A21" s="5">
        <v>20</v>
      </c>
      <c r="B21" s="5">
        <v>39</v>
      </c>
    </row>
    <row r="22" spans="1:2" x14ac:dyDescent="0.2">
      <c r="A22" s="5">
        <v>21</v>
      </c>
      <c r="B22" s="5">
        <v>26</v>
      </c>
    </row>
    <row r="23" spans="1:2" x14ac:dyDescent="0.2">
      <c r="A23" s="5">
        <v>22</v>
      </c>
      <c r="B23" s="5">
        <v>44</v>
      </c>
    </row>
    <row r="24" spans="1:2" x14ac:dyDescent="0.2">
      <c r="A24" s="5">
        <v>23</v>
      </c>
      <c r="B24" s="5">
        <v>34</v>
      </c>
    </row>
    <row r="25" spans="1:2" x14ac:dyDescent="0.2">
      <c r="A25" s="5">
        <v>24</v>
      </c>
      <c r="B25" s="5">
        <v>33</v>
      </c>
    </row>
    <row r="26" spans="1:2" x14ac:dyDescent="0.2">
      <c r="A26" s="5">
        <v>25</v>
      </c>
      <c r="B26" s="5">
        <v>38</v>
      </c>
    </row>
    <row r="27" spans="1:2" x14ac:dyDescent="0.2">
      <c r="A27" s="5">
        <v>26</v>
      </c>
      <c r="B27" s="5">
        <v>55</v>
      </c>
    </row>
    <row r="28" spans="1:2" x14ac:dyDescent="0.2">
      <c r="A28" s="5">
        <v>27</v>
      </c>
      <c r="B28" s="5">
        <v>18</v>
      </c>
    </row>
    <row r="29" spans="1:2" x14ac:dyDescent="0.2">
      <c r="A29" s="5">
        <v>28</v>
      </c>
      <c r="B29" s="5">
        <v>24</v>
      </c>
    </row>
    <row r="30" spans="1:2" x14ac:dyDescent="0.2">
      <c r="A30" s="5">
        <v>29</v>
      </c>
      <c r="B30" s="5">
        <v>42</v>
      </c>
    </row>
    <row r="31" spans="1:2" x14ac:dyDescent="0.2">
      <c r="A31" s="5">
        <v>30</v>
      </c>
      <c r="B31" s="5">
        <v>58</v>
      </c>
    </row>
    <row r="32" spans="1:2" x14ac:dyDescent="0.2">
      <c r="A32" s="5">
        <v>31</v>
      </c>
      <c r="B32" s="5">
        <v>52</v>
      </c>
    </row>
    <row r="33" spans="1:2" x14ac:dyDescent="0.2">
      <c r="A33" s="5">
        <v>32</v>
      </c>
      <c r="B33" s="5">
        <v>32</v>
      </c>
    </row>
    <row r="34" spans="1:2" x14ac:dyDescent="0.2">
      <c r="A34" s="5">
        <v>33</v>
      </c>
      <c r="B34" s="5">
        <v>47</v>
      </c>
    </row>
    <row r="35" spans="1:2" x14ac:dyDescent="0.2">
      <c r="A35" s="5">
        <v>34</v>
      </c>
      <c r="B35" s="5">
        <v>30</v>
      </c>
    </row>
    <row r="36" spans="1:2" x14ac:dyDescent="0.2">
      <c r="A36" s="5">
        <v>35</v>
      </c>
      <c r="B36" s="5">
        <v>57</v>
      </c>
    </row>
    <row r="37" spans="1:2" x14ac:dyDescent="0.2">
      <c r="A37" s="5">
        <v>36</v>
      </c>
      <c r="B37" s="5">
        <v>40</v>
      </c>
    </row>
    <row r="38" spans="1:2" x14ac:dyDescent="0.2">
      <c r="A38" s="5">
        <v>37</v>
      </c>
      <c r="B38" s="5">
        <v>53</v>
      </c>
    </row>
    <row r="39" spans="1:2" x14ac:dyDescent="0.2">
      <c r="A39" s="5">
        <v>38</v>
      </c>
      <c r="B39" s="5">
        <v>28</v>
      </c>
    </row>
    <row r="40" spans="1:2" x14ac:dyDescent="0.2">
      <c r="A40" s="5">
        <v>39</v>
      </c>
      <c r="B40" s="5">
        <v>37</v>
      </c>
    </row>
    <row r="41" spans="1:2" x14ac:dyDescent="0.2">
      <c r="A41" s="5">
        <v>40</v>
      </c>
      <c r="B41" s="5">
        <v>63</v>
      </c>
    </row>
    <row r="42" spans="1:2" x14ac:dyDescent="0.2">
      <c r="A42" s="5">
        <v>41</v>
      </c>
      <c r="B42" s="5">
        <v>37</v>
      </c>
    </row>
    <row r="43" spans="1:2" x14ac:dyDescent="0.2">
      <c r="A43" s="5">
        <v>42</v>
      </c>
      <c r="B43" s="5">
        <v>34</v>
      </c>
    </row>
    <row r="44" spans="1:2" x14ac:dyDescent="0.2">
      <c r="A44" s="5">
        <v>43</v>
      </c>
      <c r="B44" s="5">
        <v>41</v>
      </c>
    </row>
    <row r="45" spans="1:2" x14ac:dyDescent="0.2">
      <c r="A45" s="5">
        <v>44</v>
      </c>
      <c r="B45" s="5">
        <v>41</v>
      </c>
    </row>
    <row r="46" spans="1:2" x14ac:dyDescent="0.2">
      <c r="A46" s="5">
        <v>45</v>
      </c>
      <c r="B46" s="5">
        <v>48</v>
      </c>
    </row>
    <row r="47" spans="1:2" x14ac:dyDescent="0.2">
      <c r="A47" s="5">
        <v>46</v>
      </c>
      <c r="B47" s="5">
        <v>38</v>
      </c>
    </row>
    <row r="48" spans="1:2" x14ac:dyDescent="0.2">
      <c r="A48" s="5">
        <v>47</v>
      </c>
      <c r="B48" s="5">
        <v>34</v>
      </c>
    </row>
    <row r="49" spans="1:2" x14ac:dyDescent="0.2">
      <c r="A49" s="5">
        <v>48</v>
      </c>
      <c r="B49" s="5">
        <v>36</v>
      </c>
    </row>
    <row r="50" spans="1:2" x14ac:dyDescent="0.2">
      <c r="A50" s="5">
        <v>49</v>
      </c>
      <c r="B50" s="5">
        <v>47</v>
      </c>
    </row>
    <row r="51" spans="1:2" x14ac:dyDescent="0.2">
      <c r="A51" s="5">
        <v>50</v>
      </c>
      <c r="B51" s="5">
        <v>36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B3888-360F-EF4E-99F5-82CD76E443FE}">
  <dimension ref="A3:F43"/>
  <sheetViews>
    <sheetView workbookViewId="0">
      <selection activeCell="N19" sqref="N19"/>
    </sheetView>
  </sheetViews>
  <sheetFormatPr baseColWidth="10" defaultRowHeight="15" x14ac:dyDescent="0.2"/>
  <cols>
    <col min="1" max="1" width="12.5" bestFit="1" customWidth="1"/>
    <col min="2" max="2" width="14.83203125" bestFit="1" customWidth="1"/>
    <col min="3" max="5" width="8" bestFit="1" customWidth="1"/>
    <col min="6" max="6" width="10" bestFit="1" customWidth="1"/>
  </cols>
  <sheetData>
    <row r="3" spans="1:6" x14ac:dyDescent="0.2">
      <c r="A3" s="14" t="s">
        <v>66</v>
      </c>
      <c r="B3" s="14" t="s">
        <v>63</v>
      </c>
    </row>
    <row r="4" spans="1:6" x14ac:dyDescent="0.2">
      <c r="A4" s="14" t="s">
        <v>61</v>
      </c>
      <c r="B4" t="s">
        <v>20</v>
      </c>
      <c r="C4" t="s">
        <v>17</v>
      </c>
      <c r="D4" t="s">
        <v>18</v>
      </c>
      <c r="E4" t="s">
        <v>19</v>
      </c>
      <c r="F4" t="s">
        <v>62</v>
      </c>
    </row>
    <row r="5" spans="1:6" x14ac:dyDescent="0.2">
      <c r="A5" s="10" t="s">
        <v>65</v>
      </c>
      <c r="B5" s="16">
        <v>16</v>
      </c>
      <c r="C5" s="16">
        <v>8</v>
      </c>
      <c r="D5" s="16">
        <v>6</v>
      </c>
      <c r="E5" s="16">
        <v>6</v>
      </c>
      <c r="F5" s="16">
        <v>36</v>
      </c>
    </row>
    <row r="6" spans="1:6" x14ac:dyDescent="0.2">
      <c r="A6" s="10" t="s">
        <v>64</v>
      </c>
      <c r="B6" s="16">
        <v>2</v>
      </c>
      <c r="C6" s="16">
        <v>12</v>
      </c>
      <c r="D6" s="16">
        <v>14</v>
      </c>
      <c r="E6" s="16">
        <v>16</v>
      </c>
      <c r="F6" s="16">
        <v>44</v>
      </c>
    </row>
    <row r="7" spans="1:6" x14ac:dyDescent="0.2">
      <c r="A7" s="10" t="s">
        <v>62</v>
      </c>
      <c r="B7" s="16">
        <v>18</v>
      </c>
      <c r="C7" s="16">
        <v>20</v>
      </c>
      <c r="D7" s="16">
        <v>20</v>
      </c>
      <c r="E7" s="16">
        <v>22</v>
      </c>
      <c r="F7" s="16">
        <v>80</v>
      </c>
    </row>
    <row r="22" spans="1:6" x14ac:dyDescent="0.2">
      <c r="A22" s="14" t="s">
        <v>66</v>
      </c>
      <c r="B22" s="14" t="s">
        <v>63</v>
      </c>
    </row>
    <row r="23" spans="1:6" x14ac:dyDescent="0.2">
      <c r="A23" s="14" t="s">
        <v>61</v>
      </c>
      <c r="B23" t="s">
        <v>20</v>
      </c>
      <c r="C23" t="s">
        <v>17</v>
      </c>
      <c r="D23" t="s">
        <v>18</v>
      </c>
      <c r="E23" t="s">
        <v>19</v>
      </c>
      <c r="F23" t="s">
        <v>62</v>
      </c>
    </row>
    <row r="24" spans="1:6" x14ac:dyDescent="0.2">
      <c r="A24" s="10" t="s">
        <v>65</v>
      </c>
      <c r="B24" s="15">
        <v>0.44444444444444442</v>
      </c>
      <c r="C24" s="15">
        <v>0.22222222222222221</v>
      </c>
      <c r="D24" s="15">
        <v>0.16666666666666666</v>
      </c>
      <c r="E24" s="15">
        <v>0.16666666666666666</v>
      </c>
      <c r="F24" s="15">
        <v>1</v>
      </c>
    </row>
    <row r="25" spans="1:6" x14ac:dyDescent="0.2">
      <c r="A25" s="10" t="s">
        <v>64</v>
      </c>
      <c r="B25" s="15">
        <v>4.5454545454545456E-2</v>
      </c>
      <c r="C25" s="15">
        <v>0.27272727272727271</v>
      </c>
      <c r="D25" s="15">
        <v>0.31818181818181818</v>
      </c>
      <c r="E25" s="15">
        <v>0.36363636363636365</v>
      </c>
      <c r="F25" s="15">
        <v>1</v>
      </c>
    </row>
    <row r="26" spans="1:6" x14ac:dyDescent="0.2">
      <c r="A26" s="10" t="s">
        <v>62</v>
      </c>
      <c r="B26" s="15">
        <v>0.22500000000000001</v>
      </c>
      <c r="C26" s="15">
        <v>0.25</v>
      </c>
      <c r="D26" s="15">
        <v>0.25</v>
      </c>
      <c r="E26" s="15">
        <v>0.27500000000000002</v>
      </c>
      <c r="F26" s="15">
        <v>1</v>
      </c>
    </row>
    <row r="39" spans="1:6" x14ac:dyDescent="0.2">
      <c r="A39" s="14" t="s">
        <v>66</v>
      </c>
      <c r="B39" s="14" t="s">
        <v>63</v>
      </c>
    </row>
    <row r="40" spans="1:6" x14ac:dyDescent="0.2">
      <c r="A40" s="14" t="s">
        <v>61</v>
      </c>
      <c r="B40" t="s">
        <v>20</v>
      </c>
      <c r="C40" t="s">
        <v>17</v>
      </c>
      <c r="D40" t="s">
        <v>18</v>
      </c>
      <c r="E40" t="s">
        <v>19</v>
      </c>
      <c r="F40" t="s">
        <v>62</v>
      </c>
    </row>
    <row r="41" spans="1:6" x14ac:dyDescent="0.2">
      <c r="A41" s="10" t="s">
        <v>65</v>
      </c>
      <c r="B41" s="15">
        <v>0.88888888888888884</v>
      </c>
      <c r="C41" s="15">
        <v>0.4</v>
      </c>
      <c r="D41" s="15">
        <v>0.3</v>
      </c>
      <c r="E41" s="15">
        <v>0.27272727272727271</v>
      </c>
      <c r="F41" s="15">
        <v>0.45</v>
      </c>
    </row>
    <row r="42" spans="1:6" x14ac:dyDescent="0.2">
      <c r="A42" s="10" t="s">
        <v>64</v>
      </c>
      <c r="B42" s="15">
        <v>0.1111111111111111</v>
      </c>
      <c r="C42" s="15">
        <v>0.6</v>
      </c>
      <c r="D42" s="15">
        <v>0.7</v>
      </c>
      <c r="E42" s="15">
        <v>0.72727272727272729</v>
      </c>
      <c r="F42" s="15">
        <v>0.55000000000000004</v>
      </c>
    </row>
    <row r="43" spans="1:6" x14ac:dyDescent="0.2">
      <c r="A43" s="10" t="s">
        <v>62</v>
      </c>
      <c r="B43" s="15">
        <v>1</v>
      </c>
      <c r="C43" s="15">
        <v>1</v>
      </c>
      <c r="D43" s="15">
        <v>1</v>
      </c>
      <c r="E43" s="15">
        <v>1</v>
      </c>
      <c r="F43" s="15">
        <v>1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1"/>
  <sheetViews>
    <sheetView workbookViewId="0">
      <pane ySplit="1" topLeftCell="A40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11" customWidth="1"/>
    <col min="3" max="3" width="13" customWidth="1"/>
    <col min="4" max="4" width="19.83203125" customWidth="1"/>
  </cols>
  <sheetData>
    <row r="1" spans="1:5" x14ac:dyDescent="0.2">
      <c r="A1" s="3" t="s">
        <v>14</v>
      </c>
      <c r="B1" s="3" t="s">
        <v>15</v>
      </c>
      <c r="C1" s="3" t="s">
        <v>16</v>
      </c>
      <c r="D1" t="s">
        <v>60</v>
      </c>
      <c r="E1" s="4"/>
    </row>
    <row r="2" spans="1:5" x14ac:dyDescent="0.2">
      <c r="A2" s="5">
        <v>1</v>
      </c>
      <c r="B2" s="5" t="s">
        <v>17</v>
      </c>
      <c r="C2" s="6">
        <v>66100</v>
      </c>
      <c r="D2" t="str">
        <f>IF(C2&lt;60000, "Below 60k", "60k and above")</f>
        <v>60k and above</v>
      </c>
    </row>
    <row r="3" spans="1:5" x14ac:dyDescent="0.2">
      <c r="A3" s="5">
        <v>2</v>
      </c>
      <c r="B3" s="5" t="s">
        <v>17</v>
      </c>
      <c r="C3" s="6">
        <v>89900</v>
      </c>
      <c r="D3" t="str">
        <f t="shared" ref="D3:D66" si="0">IF(C3&lt;60000, "Below 60k", "60k and above")</f>
        <v>60k and above</v>
      </c>
    </row>
    <row r="4" spans="1:5" x14ac:dyDescent="0.2">
      <c r="A4" s="5">
        <v>3</v>
      </c>
      <c r="B4" s="5" t="s">
        <v>18</v>
      </c>
      <c r="C4" s="6">
        <v>44600</v>
      </c>
      <c r="D4" t="str">
        <f t="shared" si="0"/>
        <v>Below 60k</v>
      </c>
    </row>
    <row r="5" spans="1:5" x14ac:dyDescent="0.2">
      <c r="A5" s="5">
        <v>4</v>
      </c>
      <c r="B5" s="5" t="s">
        <v>18</v>
      </c>
      <c r="C5" s="6">
        <v>92400</v>
      </c>
      <c r="D5" t="str">
        <f t="shared" si="0"/>
        <v>60k and above</v>
      </c>
    </row>
    <row r="6" spans="1:5" x14ac:dyDescent="0.2">
      <c r="A6" s="5">
        <v>5</v>
      </c>
      <c r="B6" s="5" t="s">
        <v>17</v>
      </c>
      <c r="C6" s="6">
        <v>64000</v>
      </c>
      <c r="D6" t="str">
        <f t="shared" si="0"/>
        <v>60k and above</v>
      </c>
    </row>
    <row r="7" spans="1:5" x14ac:dyDescent="0.2">
      <c r="A7" s="5">
        <v>6</v>
      </c>
      <c r="B7" s="5" t="s">
        <v>18</v>
      </c>
      <c r="C7" s="6">
        <v>37500</v>
      </c>
      <c r="D7" t="str">
        <f t="shared" si="0"/>
        <v>Below 60k</v>
      </c>
    </row>
    <row r="8" spans="1:5" x14ac:dyDescent="0.2">
      <c r="A8" s="5">
        <v>7</v>
      </c>
      <c r="B8" s="5" t="s">
        <v>19</v>
      </c>
      <c r="C8" s="6">
        <v>58800</v>
      </c>
      <c r="D8" t="str">
        <f t="shared" si="0"/>
        <v>Below 60k</v>
      </c>
    </row>
    <row r="9" spans="1:5" x14ac:dyDescent="0.2">
      <c r="A9" s="5">
        <v>8</v>
      </c>
      <c r="B9" s="5" t="s">
        <v>19</v>
      </c>
      <c r="C9" s="6">
        <v>75100</v>
      </c>
      <c r="D9" t="str">
        <f t="shared" si="0"/>
        <v>60k and above</v>
      </c>
    </row>
    <row r="10" spans="1:5" x14ac:dyDescent="0.2">
      <c r="A10" s="5">
        <v>9</v>
      </c>
      <c r="B10" s="5" t="s">
        <v>18</v>
      </c>
      <c r="C10" s="6">
        <v>41300</v>
      </c>
      <c r="D10" t="str">
        <f t="shared" si="0"/>
        <v>Below 60k</v>
      </c>
    </row>
    <row r="11" spans="1:5" x14ac:dyDescent="0.2">
      <c r="A11" s="5">
        <v>10</v>
      </c>
      <c r="B11" s="5" t="s">
        <v>19</v>
      </c>
      <c r="C11" s="6">
        <v>45200</v>
      </c>
      <c r="D11" t="str">
        <f t="shared" si="0"/>
        <v>Below 60k</v>
      </c>
    </row>
    <row r="12" spans="1:5" x14ac:dyDescent="0.2">
      <c r="A12" s="5">
        <v>11</v>
      </c>
      <c r="B12" s="5" t="s">
        <v>19</v>
      </c>
      <c r="C12" s="6">
        <v>45000</v>
      </c>
      <c r="D12" t="str">
        <f t="shared" si="0"/>
        <v>Below 60k</v>
      </c>
    </row>
    <row r="13" spans="1:5" x14ac:dyDescent="0.2">
      <c r="A13" s="5">
        <v>12</v>
      </c>
      <c r="B13" s="5" t="s">
        <v>19</v>
      </c>
      <c r="C13" s="6">
        <v>37500</v>
      </c>
      <c r="D13" t="str">
        <f t="shared" si="0"/>
        <v>Below 60k</v>
      </c>
    </row>
    <row r="14" spans="1:5" x14ac:dyDescent="0.2">
      <c r="A14" s="5">
        <v>13</v>
      </c>
      <c r="B14" s="5" t="s">
        <v>17</v>
      </c>
      <c r="C14" s="6">
        <v>80300</v>
      </c>
      <c r="D14" t="str">
        <f t="shared" si="0"/>
        <v>60k and above</v>
      </c>
    </row>
    <row r="15" spans="1:5" x14ac:dyDescent="0.2">
      <c r="A15" s="5">
        <v>14</v>
      </c>
      <c r="B15" s="5" t="s">
        <v>19</v>
      </c>
      <c r="C15" s="6">
        <v>48300</v>
      </c>
      <c r="D15" t="str">
        <f t="shared" si="0"/>
        <v>Below 60k</v>
      </c>
    </row>
    <row r="16" spans="1:5" x14ac:dyDescent="0.2">
      <c r="A16" s="5">
        <v>15</v>
      </c>
      <c r="B16" s="5" t="s">
        <v>17</v>
      </c>
      <c r="C16" s="6">
        <v>64300</v>
      </c>
      <c r="D16" t="str">
        <f t="shared" si="0"/>
        <v>60k and above</v>
      </c>
    </row>
    <row r="17" spans="1:4" x14ac:dyDescent="0.2">
      <c r="A17" s="5">
        <v>16</v>
      </c>
      <c r="B17" s="5" t="s">
        <v>20</v>
      </c>
      <c r="C17" s="6">
        <v>37800</v>
      </c>
      <c r="D17" t="str">
        <f t="shared" si="0"/>
        <v>Below 60k</v>
      </c>
    </row>
    <row r="18" spans="1:4" x14ac:dyDescent="0.2">
      <c r="A18" s="5">
        <v>17</v>
      </c>
      <c r="B18" s="5" t="s">
        <v>17</v>
      </c>
      <c r="C18" s="6">
        <v>51000</v>
      </c>
      <c r="D18" t="str">
        <f t="shared" si="0"/>
        <v>Below 60k</v>
      </c>
    </row>
    <row r="19" spans="1:4" x14ac:dyDescent="0.2">
      <c r="A19" s="5">
        <v>18</v>
      </c>
      <c r="B19" s="5" t="s">
        <v>18</v>
      </c>
      <c r="C19" s="6">
        <v>53200</v>
      </c>
      <c r="D19" t="str">
        <f t="shared" si="0"/>
        <v>Below 60k</v>
      </c>
    </row>
    <row r="20" spans="1:4" x14ac:dyDescent="0.2">
      <c r="A20" s="5">
        <v>19</v>
      </c>
      <c r="B20" s="5" t="s">
        <v>20</v>
      </c>
      <c r="C20" s="6">
        <v>61600</v>
      </c>
      <c r="D20" t="str">
        <f t="shared" si="0"/>
        <v>60k and above</v>
      </c>
    </row>
    <row r="21" spans="1:4" x14ac:dyDescent="0.2">
      <c r="A21" s="5">
        <v>20</v>
      </c>
      <c r="B21" s="5" t="s">
        <v>19</v>
      </c>
      <c r="C21" s="6">
        <v>41100</v>
      </c>
      <c r="D21" t="str">
        <f t="shared" si="0"/>
        <v>Below 60k</v>
      </c>
    </row>
    <row r="22" spans="1:4" x14ac:dyDescent="0.2">
      <c r="A22" s="5">
        <v>21</v>
      </c>
      <c r="B22" s="5" t="s">
        <v>19</v>
      </c>
      <c r="C22" s="6">
        <v>40100</v>
      </c>
      <c r="D22" t="str">
        <f t="shared" si="0"/>
        <v>Below 60k</v>
      </c>
    </row>
    <row r="23" spans="1:4" x14ac:dyDescent="0.2">
      <c r="A23" s="5">
        <v>22</v>
      </c>
      <c r="B23" s="5" t="s">
        <v>17</v>
      </c>
      <c r="C23" s="6">
        <v>42300</v>
      </c>
      <c r="D23" t="str">
        <f t="shared" si="0"/>
        <v>Below 60k</v>
      </c>
    </row>
    <row r="24" spans="1:4" x14ac:dyDescent="0.2">
      <c r="A24" s="5">
        <v>23</v>
      </c>
      <c r="B24" s="5" t="s">
        <v>17</v>
      </c>
      <c r="C24" s="6">
        <v>77700</v>
      </c>
      <c r="D24" t="str">
        <f t="shared" si="0"/>
        <v>60k and above</v>
      </c>
    </row>
    <row r="25" spans="1:4" x14ac:dyDescent="0.2">
      <c r="A25" s="5">
        <v>24</v>
      </c>
      <c r="B25" s="5" t="s">
        <v>20</v>
      </c>
      <c r="C25" s="6">
        <v>90400</v>
      </c>
      <c r="D25" t="str">
        <f t="shared" si="0"/>
        <v>60k and above</v>
      </c>
    </row>
    <row r="26" spans="1:4" x14ac:dyDescent="0.2">
      <c r="A26" s="5">
        <v>25</v>
      </c>
      <c r="B26" s="5" t="s">
        <v>20</v>
      </c>
      <c r="C26" s="6">
        <v>37000</v>
      </c>
      <c r="D26" t="str">
        <f t="shared" si="0"/>
        <v>Below 60k</v>
      </c>
    </row>
    <row r="27" spans="1:4" x14ac:dyDescent="0.2">
      <c r="A27" s="5">
        <v>26</v>
      </c>
      <c r="B27" s="5" t="s">
        <v>20</v>
      </c>
      <c r="C27" s="6">
        <v>123600</v>
      </c>
      <c r="D27" t="str">
        <f t="shared" si="0"/>
        <v>60k and above</v>
      </c>
    </row>
    <row r="28" spans="1:4" x14ac:dyDescent="0.2">
      <c r="A28" s="5">
        <v>27</v>
      </c>
      <c r="B28" s="5" t="s">
        <v>19</v>
      </c>
      <c r="C28" s="6">
        <v>34600</v>
      </c>
      <c r="D28" t="str">
        <f t="shared" si="0"/>
        <v>Below 60k</v>
      </c>
    </row>
    <row r="29" spans="1:4" x14ac:dyDescent="0.2">
      <c r="A29" s="5">
        <v>28</v>
      </c>
      <c r="B29" s="5" t="s">
        <v>19</v>
      </c>
      <c r="C29" s="6">
        <v>83500</v>
      </c>
      <c r="D29" t="str">
        <f t="shared" si="0"/>
        <v>60k and above</v>
      </c>
    </row>
    <row r="30" spans="1:4" x14ac:dyDescent="0.2">
      <c r="A30" s="5">
        <v>29</v>
      </c>
      <c r="B30" s="5" t="s">
        <v>19</v>
      </c>
      <c r="C30" s="6">
        <v>46700</v>
      </c>
      <c r="D30" t="str">
        <f t="shared" si="0"/>
        <v>Below 60k</v>
      </c>
    </row>
    <row r="31" spans="1:4" x14ac:dyDescent="0.2">
      <c r="A31" s="5">
        <v>30</v>
      </c>
      <c r="B31" s="5" t="s">
        <v>17</v>
      </c>
      <c r="C31" s="6">
        <v>50800</v>
      </c>
      <c r="D31" t="str">
        <f t="shared" si="0"/>
        <v>Below 60k</v>
      </c>
    </row>
    <row r="32" spans="1:4" x14ac:dyDescent="0.2">
      <c r="A32" s="5">
        <v>31</v>
      </c>
      <c r="B32" s="5" t="s">
        <v>19</v>
      </c>
      <c r="C32" s="6">
        <v>44800</v>
      </c>
      <c r="D32" t="str">
        <f t="shared" si="0"/>
        <v>Below 60k</v>
      </c>
    </row>
    <row r="33" spans="1:4" x14ac:dyDescent="0.2">
      <c r="A33" s="5">
        <v>32</v>
      </c>
      <c r="B33" s="5" t="s">
        <v>18</v>
      </c>
      <c r="C33" s="6">
        <v>43600</v>
      </c>
      <c r="D33" t="str">
        <f t="shared" si="0"/>
        <v>Below 60k</v>
      </c>
    </row>
    <row r="34" spans="1:4" x14ac:dyDescent="0.2">
      <c r="A34" s="5">
        <v>33</v>
      </c>
      <c r="B34" s="5" t="s">
        <v>18</v>
      </c>
      <c r="C34" s="6">
        <v>74300</v>
      </c>
      <c r="D34" t="str">
        <f t="shared" si="0"/>
        <v>60k and above</v>
      </c>
    </row>
    <row r="35" spans="1:4" x14ac:dyDescent="0.2">
      <c r="A35" s="5">
        <v>34</v>
      </c>
      <c r="B35" s="5" t="s">
        <v>18</v>
      </c>
      <c r="C35" s="6">
        <v>43400</v>
      </c>
      <c r="D35" t="str">
        <f t="shared" si="0"/>
        <v>Below 60k</v>
      </c>
    </row>
    <row r="36" spans="1:4" x14ac:dyDescent="0.2">
      <c r="A36" s="5">
        <v>35</v>
      </c>
      <c r="B36" s="5" t="s">
        <v>18</v>
      </c>
      <c r="C36" s="6">
        <v>47100</v>
      </c>
      <c r="D36" t="str">
        <f t="shared" si="0"/>
        <v>Below 60k</v>
      </c>
    </row>
    <row r="37" spans="1:4" x14ac:dyDescent="0.2">
      <c r="A37" s="5">
        <v>36</v>
      </c>
      <c r="B37" s="5" t="s">
        <v>19</v>
      </c>
      <c r="C37" s="6">
        <v>50000</v>
      </c>
      <c r="D37" t="str">
        <f t="shared" si="0"/>
        <v>Below 60k</v>
      </c>
    </row>
    <row r="38" spans="1:4" x14ac:dyDescent="0.2">
      <c r="A38" s="5">
        <v>37</v>
      </c>
      <c r="B38" s="5" t="s">
        <v>19</v>
      </c>
      <c r="C38" s="6">
        <v>69900</v>
      </c>
      <c r="D38" t="str">
        <f t="shared" si="0"/>
        <v>60k and above</v>
      </c>
    </row>
    <row r="39" spans="1:4" x14ac:dyDescent="0.2">
      <c r="A39" s="5">
        <v>38</v>
      </c>
      <c r="B39" s="5" t="s">
        <v>18</v>
      </c>
      <c r="C39" s="6">
        <v>32700</v>
      </c>
      <c r="D39" t="str">
        <f t="shared" si="0"/>
        <v>Below 60k</v>
      </c>
    </row>
    <row r="40" spans="1:4" x14ac:dyDescent="0.2">
      <c r="A40" s="5">
        <v>39</v>
      </c>
      <c r="B40" s="5" t="s">
        <v>20</v>
      </c>
      <c r="C40" s="6">
        <v>83900</v>
      </c>
      <c r="D40" t="str">
        <f t="shared" si="0"/>
        <v>60k and above</v>
      </c>
    </row>
    <row r="41" spans="1:4" x14ac:dyDescent="0.2">
      <c r="A41" s="5">
        <v>40</v>
      </c>
      <c r="B41" s="5" t="s">
        <v>20</v>
      </c>
      <c r="C41" s="6">
        <v>114900</v>
      </c>
      <c r="D41" t="str">
        <f t="shared" si="0"/>
        <v>60k and above</v>
      </c>
    </row>
    <row r="42" spans="1:4" x14ac:dyDescent="0.2">
      <c r="A42" s="5">
        <v>41</v>
      </c>
      <c r="B42" s="5" t="s">
        <v>18</v>
      </c>
      <c r="C42" s="6">
        <v>54300</v>
      </c>
      <c r="D42" t="str">
        <f t="shared" si="0"/>
        <v>Below 60k</v>
      </c>
    </row>
    <row r="43" spans="1:4" x14ac:dyDescent="0.2">
      <c r="A43" s="5">
        <v>42</v>
      </c>
      <c r="B43" s="5" t="s">
        <v>20</v>
      </c>
      <c r="C43" s="6">
        <v>139900</v>
      </c>
      <c r="D43" t="str">
        <f t="shared" si="0"/>
        <v>60k and above</v>
      </c>
    </row>
    <row r="44" spans="1:4" x14ac:dyDescent="0.2">
      <c r="A44" s="5">
        <v>43</v>
      </c>
      <c r="B44" s="5" t="s">
        <v>20</v>
      </c>
      <c r="C44" s="6">
        <v>134200</v>
      </c>
      <c r="D44" t="str">
        <f t="shared" si="0"/>
        <v>60k and above</v>
      </c>
    </row>
    <row r="45" spans="1:4" x14ac:dyDescent="0.2">
      <c r="A45" s="5">
        <v>44</v>
      </c>
      <c r="B45" s="5" t="s">
        <v>19</v>
      </c>
      <c r="C45" s="6">
        <v>46100</v>
      </c>
      <c r="D45" t="str">
        <f t="shared" si="0"/>
        <v>Below 60k</v>
      </c>
    </row>
    <row r="46" spans="1:4" x14ac:dyDescent="0.2">
      <c r="A46" s="5">
        <v>45</v>
      </c>
      <c r="B46" s="5" t="s">
        <v>20</v>
      </c>
      <c r="C46" s="6">
        <v>108400</v>
      </c>
      <c r="D46" t="str">
        <f t="shared" si="0"/>
        <v>60k and above</v>
      </c>
    </row>
    <row r="47" spans="1:4" x14ac:dyDescent="0.2">
      <c r="A47" s="5">
        <v>46</v>
      </c>
      <c r="B47" s="5" t="s">
        <v>19</v>
      </c>
      <c r="C47" s="6">
        <v>50000</v>
      </c>
      <c r="D47" t="str">
        <f t="shared" si="0"/>
        <v>Below 60k</v>
      </c>
    </row>
    <row r="48" spans="1:4" x14ac:dyDescent="0.2">
      <c r="A48" s="5">
        <v>47</v>
      </c>
      <c r="B48" s="5" t="s">
        <v>20</v>
      </c>
      <c r="C48" s="6">
        <v>137200</v>
      </c>
      <c r="D48" t="str">
        <f t="shared" si="0"/>
        <v>60k and above</v>
      </c>
    </row>
    <row r="49" spans="1:4" x14ac:dyDescent="0.2">
      <c r="A49" s="5">
        <v>48</v>
      </c>
      <c r="B49" s="5" t="s">
        <v>17</v>
      </c>
      <c r="C49" s="6">
        <v>58800</v>
      </c>
      <c r="D49" t="str">
        <f t="shared" si="0"/>
        <v>Below 60k</v>
      </c>
    </row>
    <row r="50" spans="1:4" x14ac:dyDescent="0.2">
      <c r="A50" s="5">
        <v>49</v>
      </c>
      <c r="B50" s="5" t="s">
        <v>17</v>
      </c>
      <c r="C50" s="6">
        <v>50300</v>
      </c>
      <c r="D50" t="str">
        <f t="shared" si="0"/>
        <v>Below 60k</v>
      </c>
    </row>
    <row r="51" spans="1:4" x14ac:dyDescent="0.2">
      <c r="A51" s="5">
        <v>50</v>
      </c>
      <c r="B51" s="5" t="s">
        <v>18</v>
      </c>
      <c r="C51" s="6">
        <v>68500</v>
      </c>
      <c r="D51" t="str">
        <f t="shared" si="0"/>
        <v>60k and above</v>
      </c>
    </row>
    <row r="52" spans="1:4" x14ac:dyDescent="0.2">
      <c r="A52" s="5">
        <v>51</v>
      </c>
      <c r="B52" s="5" t="s">
        <v>18</v>
      </c>
      <c r="C52" s="6">
        <v>58900</v>
      </c>
      <c r="D52" t="str">
        <f t="shared" si="0"/>
        <v>Below 60k</v>
      </c>
    </row>
    <row r="53" spans="1:4" x14ac:dyDescent="0.2">
      <c r="A53" s="5">
        <v>52</v>
      </c>
      <c r="B53" s="5" t="s">
        <v>19</v>
      </c>
      <c r="C53" s="6">
        <v>87200</v>
      </c>
      <c r="D53" t="str">
        <f t="shared" si="0"/>
        <v>60k and above</v>
      </c>
    </row>
    <row r="54" spans="1:4" x14ac:dyDescent="0.2">
      <c r="A54" s="5">
        <v>53</v>
      </c>
      <c r="B54" s="5" t="s">
        <v>18</v>
      </c>
      <c r="C54" s="6">
        <v>67700</v>
      </c>
      <c r="D54" t="str">
        <f t="shared" si="0"/>
        <v>60k and above</v>
      </c>
    </row>
    <row r="55" spans="1:4" x14ac:dyDescent="0.2">
      <c r="A55" s="5">
        <v>54</v>
      </c>
      <c r="B55" s="5" t="s">
        <v>17</v>
      </c>
      <c r="C55" s="6">
        <v>51500</v>
      </c>
      <c r="D55" t="str">
        <f t="shared" si="0"/>
        <v>Below 60k</v>
      </c>
    </row>
    <row r="56" spans="1:4" x14ac:dyDescent="0.2">
      <c r="A56" s="5">
        <v>55</v>
      </c>
      <c r="B56" s="5" t="s">
        <v>18</v>
      </c>
      <c r="C56" s="6">
        <v>63900</v>
      </c>
      <c r="D56" t="str">
        <f t="shared" si="0"/>
        <v>60k and above</v>
      </c>
    </row>
    <row r="57" spans="1:4" x14ac:dyDescent="0.2">
      <c r="A57" s="5">
        <v>56</v>
      </c>
      <c r="B57" s="5" t="s">
        <v>17</v>
      </c>
      <c r="C57" s="6">
        <v>57100</v>
      </c>
      <c r="D57" t="str">
        <f t="shared" si="0"/>
        <v>Below 60k</v>
      </c>
    </row>
    <row r="58" spans="1:4" x14ac:dyDescent="0.2">
      <c r="A58" s="5">
        <v>57</v>
      </c>
      <c r="B58" s="5" t="s">
        <v>20</v>
      </c>
      <c r="C58" s="6">
        <v>130100</v>
      </c>
      <c r="D58" t="str">
        <f t="shared" si="0"/>
        <v>60k and above</v>
      </c>
    </row>
    <row r="59" spans="1:4" x14ac:dyDescent="0.2">
      <c r="A59" s="5">
        <v>58</v>
      </c>
      <c r="B59" s="5" t="s">
        <v>17</v>
      </c>
      <c r="C59" s="6">
        <v>57900</v>
      </c>
      <c r="D59" t="str">
        <f t="shared" si="0"/>
        <v>Below 60k</v>
      </c>
    </row>
    <row r="60" spans="1:4" x14ac:dyDescent="0.2">
      <c r="A60" s="5">
        <v>59</v>
      </c>
      <c r="B60" s="5" t="s">
        <v>18</v>
      </c>
      <c r="C60" s="6">
        <v>78800</v>
      </c>
      <c r="D60" t="str">
        <f t="shared" si="0"/>
        <v>60k and above</v>
      </c>
    </row>
    <row r="61" spans="1:4" x14ac:dyDescent="0.2">
      <c r="A61" s="5">
        <v>60</v>
      </c>
      <c r="B61" s="5" t="s">
        <v>18</v>
      </c>
      <c r="C61" s="6">
        <v>50900</v>
      </c>
      <c r="D61" t="str">
        <f t="shared" si="0"/>
        <v>Below 60k</v>
      </c>
    </row>
    <row r="62" spans="1:4" x14ac:dyDescent="0.2">
      <c r="A62" s="5">
        <v>61</v>
      </c>
      <c r="B62" s="5" t="s">
        <v>20</v>
      </c>
      <c r="C62" s="6">
        <v>90600</v>
      </c>
      <c r="D62" t="str">
        <f t="shared" si="0"/>
        <v>60k and above</v>
      </c>
    </row>
    <row r="63" spans="1:4" x14ac:dyDescent="0.2">
      <c r="A63" s="5">
        <v>62</v>
      </c>
      <c r="B63" s="5" t="s">
        <v>17</v>
      </c>
      <c r="C63" s="6">
        <v>48300</v>
      </c>
      <c r="D63" t="str">
        <f t="shared" si="0"/>
        <v>Below 60k</v>
      </c>
    </row>
    <row r="64" spans="1:4" x14ac:dyDescent="0.2">
      <c r="A64" s="5">
        <v>63</v>
      </c>
      <c r="B64" s="5" t="s">
        <v>18</v>
      </c>
      <c r="C64" s="6">
        <v>53900</v>
      </c>
      <c r="D64" t="str">
        <f t="shared" si="0"/>
        <v>Below 60k</v>
      </c>
    </row>
    <row r="65" spans="1:4" x14ac:dyDescent="0.2">
      <c r="A65" s="5">
        <v>64</v>
      </c>
      <c r="B65" s="5" t="s">
        <v>18</v>
      </c>
      <c r="C65" s="6">
        <v>55500</v>
      </c>
      <c r="D65" t="str">
        <f t="shared" si="0"/>
        <v>Below 60k</v>
      </c>
    </row>
    <row r="66" spans="1:4" x14ac:dyDescent="0.2">
      <c r="A66" s="5">
        <v>65</v>
      </c>
      <c r="B66" s="5" t="s">
        <v>17</v>
      </c>
      <c r="C66" s="6">
        <v>43500</v>
      </c>
      <c r="D66" t="str">
        <f t="shared" si="0"/>
        <v>Below 60k</v>
      </c>
    </row>
    <row r="67" spans="1:4" x14ac:dyDescent="0.2">
      <c r="A67" s="5">
        <v>66</v>
      </c>
      <c r="B67" s="5" t="s">
        <v>18</v>
      </c>
      <c r="C67" s="6">
        <v>46600</v>
      </c>
      <c r="D67" t="str">
        <f t="shared" ref="D67:D81" si="1">IF(C67&lt;60000, "Below 60k", "60k and above")</f>
        <v>Below 60k</v>
      </c>
    </row>
    <row r="68" spans="1:4" x14ac:dyDescent="0.2">
      <c r="A68" s="5">
        <v>67</v>
      </c>
      <c r="B68" s="5" t="s">
        <v>17</v>
      </c>
      <c r="C68" s="6">
        <v>54800</v>
      </c>
      <c r="D68" t="str">
        <f t="shared" si="1"/>
        <v>Below 60k</v>
      </c>
    </row>
    <row r="69" spans="1:4" x14ac:dyDescent="0.2">
      <c r="A69" s="5">
        <v>68</v>
      </c>
      <c r="B69" s="5" t="s">
        <v>20</v>
      </c>
      <c r="C69" s="6">
        <v>79100</v>
      </c>
      <c r="D69" t="str">
        <f t="shared" si="1"/>
        <v>60k and above</v>
      </c>
    </row>
    <row r="70" spans="1:4" x14ac:dyDescent="0.2">
      <c r="A70" s="5">
        <v>69</v>
      </c>
      <c r="B70" s="5" t="s">
        <v>19</v>
      </c>
      <c r="C70" s="6">
        <v>65400</v>
      </c>
      <c r="D70" t="str">
        <f t="shared" si="1"/>
        <v>60k and above</v>
      </c>
    </row>
    <row r="71" spans="1:4" x14ac:dyDescent="0.2">
      <c r="A71" s="5">
        <v>70</v>
      </c>
      <c r="B71" s="5" t="s">
        <v>17</v>
      </c>
      <c r="C71" s="6">
        <v>64500</v>
      </c>
      <c r="D71" t="str">
        <f t="shared" si="1"/>
        <v>60k and above</v>
      </c>
    </row>
    <row r="72" spans="1:4" x14ac:dyDescent="0.2">
      <c r="A72" s="5">
        <v>71</v>
      </c>
      <c r="B72" s="5" t="s">
        <v>20</v>
      </c>
      <c r="C72" s="6">
        <v>97000</v>
      </c>
      <c r="D72" t="str">
        <f t="shared" si="1"/>
        <v>60k and above</v>
      </c>
    </row>
    <row r="73" spans="1:4" x14ac:dyDescent="0.2">
      <c r="A73" s="5">
        <v>72</v>
      </c>
      <c r="B73" s="5" t="s">
        <v>19</v>
      </c>
      <c r="C73" s="6">
        <v>36500</v>
      </c>
      <c r="D73" t="str">
        <f t="shared" si="1"/>
        <v>Below 60k</v>
      </c>
    </row>
    <row r="74" spans="1:4" x14ac:dyDescent="0.2">
      <c r="A74" s="5">
        <v>73</v>
      </c>
      <c r="B74" s="5" t="s">
        <v>20</v>
      </c>
      <c r="C74" s="6">
        <v>60500</v>
      </c>
      <c r="D74" t="str">
        <f t="shared" si="1"/>
        <v>60k and above</v>
      </c>
    </row>
    <row r="75" spans="1:4" x14ac:dyDescent="0.2">
      <c r="A75" s="5">
        <v>74</v>
      </c>
      <c r="B75" s="5" t="s">
        <v>19</v>
      </c>
      <c r="C75" s="6">
        <v>41100</v>
      </c>
      <c r="D75" t="str">
        <f t="shared" si="1"/>
        <v>Below 60k</v>
      </c>
    </row>
    <row r="76" spans="1:4" x14ac:dyDescent="0.2">
      <c r="A76" s="5">
        <v>75</v>
      </c>
      <c r="B76" s="5" t="s">
        <v>20</v>
      </c>
      <c r="C76" s="6">
        <v>94400</v>
      </c>
      <c r="D76" t="str">
        <f t="shared" si="1"/>
        <v>60k and above</v>
      </c>
    </row>
    <row r="77" spans="1:4" x14ac:dyDescent="0.2">
      <c r="A77" s="5">
        <v>76</v>
      </c>
      <c r="B77" s="5" t="s">
        <v>19</v>
      </c>
      <c r="C77" s="6">
        <v>84900</v>
      </c>
      <c r="D77" t="str">
        <f t="shared" si="1"/>
        <v>60k and above</v>
      </c>
    </row>
    <row r="78" spans="1:4" x14ac:dyDescent="0.2">
      <c r="A78" s="5">
        <v>77</v>
      </c>
      <c r="B78" s="5" t="s">
        <v>17</v>
      </c>
      <c r="C78" s="6">
        <v>43100</v>
      </c>
      <c r="D78" t="str">
        <f t="shared" si="1"/>
        <v>Below 60k</v>
      </c>
    </row>
    <row r="79" spans="1:4" x14ac:dyDescent="0.2">
      <c r="A79" s="5">
        <v>78</v>
      </c>
      <c r="B79" s="5" t="s">
        <v>20</v>
      </c>
      <c r="C79" s="6">
        <v>146300</v>
      </c>
      <c r="D79" t="str">
        <f t="shared" si="1"/>
        <v>60k and above</v>
      </c>
    </row>
    <row r="80" spans="1:4" x14ac:dyDescent="0.2">
      <c r="A80" s="5">
        <v>79</v>
      </c>
      <c r="B80" s="5" t="s">
        <v>17</v>
      </c>
      <c r="C80" s="6">
        <v>91100</v>
      </c>
      <c r="D80" t="str">
        <f t="shared" si="1"/>
        <v>60k and above</v>
      </c>
    </row>
    <row r="81" spans="1:4" x14ac:dyDescent="0.2">
      <c r="A81" s="5">
        <v>80</v>
      </c>
      <c r="B81" s="5" t="s">
        <v>19</v>
      </c>
      <c r="C81" s="6">
        <v>56200</v>
      </c>
      <c r="D81" t="str">
        <f t="shared" si="1"/>
        <v>Below 60k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tabSelected="1" workbookViewId="0">
      <pane ySplit="1" topLeftCell="A2" activePane="bottomLeft" state="frozen"/>
      <selection pane="bottomLeft" activeCell="H10" sqref="H10"/>
    </sheetView>
  </sheetViews>
  <sheetFormatPr baseColWidth="10" defaultColWidth="8.83203125" defaultRowHeight="15" x14ac:dyDescent="0.2"/>
  <cols>
    <col min="1" max="1" width="10" customWidth="1"/>
    <col min="2" max="2" width="19" customWidth="1"/>
    <col min="3" max="3" width="17" customWidth="1"/>
    <col min="4" max="4" width="14.6640625" customWidth="1"/>
  </cols>
  <sheetData>
    <row r="1" spans="1:5" x14ac:dyDescent="0.2">
      <c r="A1" s="3" t="s">
        <v>21</v>
      </c>
      <c r="B1" s="3" t="s">
        <v>22</v>
      </c>
      <c r="C1" s="3" t="s">
        <v>23</v>
      </c>
      <c r="E1" s="4"/>
    </row>
    <row r="2" spans="1:5" x14ac:dyDescent="0.2">
      <c r="A2" s="5" t="s">
        <v>24</v>
      </c>
      <c r="B2" s="5">
        <v>2.1</v>
      </c>
      <c r="C2" s="5">
        <v>32.6</v>
      </c>
    </row>
    <row r="3" spans="1:5" x14ac:dyDescent="0.2">
      <c r="A3" s="5" t="s">
        <v>25</v>
      </c>
      <c r="B3" s="5">
        <v>3.4</v>
      </c>
      <c r="C3" s="5">
        <v>42.6</v>
      </c>
    </row>
    <row r="4" spans="1:5" x14ac:dyDescent="0.2">
      <c r="A4" s="5" t="s">
        <v>26</v>
      </c>
      <c r="B4" s="5">
        <v>1.8</v>
      </c>
      <c r="C4" s="5">
        <v>32.9</v>
      </c>
    </row>
    <row r="5" spans="1:5" x14ac:dyDescent="0.2">
      <c r="A5" s="5" t="s">
        <v>27</v>
      </c>
      <c r="B5" s="5">
        <v>4.5999999999999996</v>
      </c>
      <c r="C5" s="5">
        <v>48.6</v>
      </c>
    </row>
    <row r="6" spans="1:5" x14ac:dyDescent="0.2">
      <c r="A6" s="5" t="s">
        <v>28</v>
      </c>
      <c r="B6" s="5">
        <v>5.2</v>
      </c>
      <c r="C6" s="5">
        <v>52.8</v>
      </c>
    </row>
    <row r="7" spans="1:5" x14ac:dyDescent="0.2">
      <c r="A7" s="5" t="s">
        <v>29</v>
      </c>
      <c r="B7" s="5">
        <v>3.9</v>
      </c>
      <c r="C7" s="5">
        <v>43.2</v>
      </c>
    </row>
    <row r="8" spans="1:5" x14ac:dyDescent="0.2">
      <c r="A8" s="5" t="s">
        <v>30</v>
      </c>
      <c r="B8" s="5">
        <v>2.7</v>
      </c>
      <c r="C8" s="5">
        <v>38.9</v>
      </c>
    </row>
    <row r="9" spans="1:5" x14ac:dyDescent="0.2">
      <c r="A9" s="5" t="s">
        <v>31</v>
      </c>
      <c r="B9" s="5">
        <v>6.1</v>
      </c>
      <c r="C9" s="5">
        <v>51</v>
      </c>
    </row>
    <row r="10" spans="1:5" x14ac:dyDescent="0.2">
      <c r="A10" s="5" t="s">
        <v>32</v>
      </c>
      <c r="B10" s="5">
        <v>4.2</v>
      </c>
      <c r="C10" s="5">
        <v>43.5</v>
      </c>
    </row>
    <row r="11" spans="1:5" x14ac:dyDescent="0.2">
      <c r="A11" s="5" t="s">
        <v>33</v>
      </c>
      <c r="B11" s="5">
        <v>5.8</v>
      </c>
      <c r="C11" s="5">
        <v>57.3</v>
      </c>
    </row>
    <row r="12" spans="1:5" x14ac:dyDescent="0.2">
      <c r="A12" s="5" t="s">
        <v>34</v>
      </c>
      <c r="B12" s="5">
        <v>3.1</v>
      </c>
      <c r="C12" s="5">
        <v>40</v>
      </c>
    </row>
    <row r="13" spans="1:5" x14ac:dyDescent="0.2">
      <c r="A13" s="5" t="s">
        <v>35</v>
      </c>
      <c r="B13" s="5">
        <v>4.9000000000000004</v>
      </c>
      <c r="C13" s="5">
        <v>48.7</v>
      </c>
      <c r="D13" s="13" t="s">
        <v>67</v>
      </c>
      <c r="E13" s="17">
        <f xml:space="preserve"> 5.2454*7 + 23.447</f>
        <v>60.1648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P1 Payments</vt:lpstr>
      <vt:lpstr>P2 Delivery</vt:lpstr>
      <vt:lpstr>Sheet1</vt:lpstr>
      <vt:lpstr>P3 Laptops</vt:lpstr>
      <vt:lpstr>P4 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Ayaan Jauhar - 260173</cp:lastModifiedBy>
  <dcterms:created xsi:type="dcterms:W3CDTF">2026-09-30T05:58:38Z</dcterms:created>
  <dcterms:modified xsi:type="dcterms:W3CDTF">2026-10-01T06:11:09Z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1d1394-37a0-4505-8d21-da79f28efe6c_Enabled">
    <vt:lpwstr>true</vt:lpwstr>
  </property>
  <property fmtid="{D5CDD505-2E9C-101B-9397-08002B2CF9AE}" pid="3" name="MSIP_Label_171d1394-37a0-4505-8d21-da79f28efe6c_SetDate">
    <vt:lpwstr>2026-09-30T06:28:26Z</vt:lpwstr>
  </property>
  <property fmtid="{D5CDD505-2E9C-101B-9397-08002B2CF9AE}" pid="4" name="MSIP_Label_171d1394-37a0-4505-8d21-da79f28efe6c_Method">
    <vt:lpwstr>Standard</vt:lpwstr>
  </property>
  <property fmtid="{D5CDD505-2E9C-101B-9397-08002B2CF9AE}" pid="5" name="MSIP_Label_171d1394-37a0-4505-8d21-da79f28efe6c_Name">
    <vt:lpwstr>defa4170-0d19-0005-0004-bc88714345d2</vt:lpwstr>
  </property>
  <property fmtid="{D5CDD505-2E9C-101B-9397-08002B2CF9AE}" pid="6" name="MSIP_Label_171d1394-37a0-4505-8d21-da79f28efe6c_SiteId">
    <vt:lpwstr>297d2b28-efc2-4659-ab8e-97e0f0d00304</vt:lpwstr>
  </property>
  <property fmtid="{D5CDD505-2E9C-101B-9397-08002B2CF9AE}" pid="7" name="MSIP_Label_171d1394-37a0-4505-8d21-da79f28efe6c_ActionId">
    <vt:lpwstr>795669e3-b24a-4999-acd4-535b7d4b77d8</vt:lpwstr>
  </property>
  <property fmtid="{D5CDD505-2E9C-101B-9397-08002B2CF9AE}" pid="8" name="MSIP_Label_171d1394-37a0-4505-8d21-da79f28efe6c_ContentBits">
    <vt:lpwstr>0</vt:lpwstr>
  </property>
  <property fmtid="{D5CDD505-2E9C-101B-9397-08002B2CF9AE}" pid="9" name="MSIP_Label_171d1394-37a0-4505-8d21-da79f28efe6c_Tag">
    <vt:lpwstr>10, 3, 0, 1</vt:lpwstr>
  </property>
</Properties>
</file>